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7 SMP" sheetId="1" r:id="rId5"/>
    <sheet state="visible" name="Kelas 8 SMP" sheetId="2" r:id="rId6"/>
    <sheet state="visible" name="Kelas 9 SMP" sheetId="3" r:id="rId7"/>
    <sheet state="visible" name="Sheet2" sheetId="4" r:id="rId8"/>
    <sheet state="visible" name="Kelas 10 SMA" sheetId="5" r:id="rId9"/>
    <sheet state="visible" name="Kelas 11 SMA" sheetId="6" r:id="rId10"/>
    <sheet state="visible" name="Kelas 12 SMA" sheetId="7" r:id="rId11"/>
  </sheets>
  <definedNames/>
  <calcPr/>
</workbook>
</file>

<file path=xl/sharedStrings.xml><?xml version="1.0" encoding="utf-8"?>
<sst xmlns="http://schemas.openxmlformats.org/spreadsheetml/2006/main" count="470" uniqueCount="148">
  <si>
    <t>DAFTAR NILAI RAPOT SANTRI — KELAS 7 SMP (TP 2026/2027)</t>
  </si>
  <si>
    <t>SMP TELAGA SUNNAH • KELAS 7 SMP • TAHUN PELAJARAN 2026/2027</t>
  </si>
  <si>
    <t>Total: 20 Santri</t>
  </si>
  <si>
    <t>Bobot Penilaian Rapot: UH 40% | MID 40% | UAS 20%  ➔  [Nilai Akhir = (UH × 0.4) + (MID × 0.4) + (UAS × 0.2)]</t>
  </si>
  <si>
    <t>DATA SANTRI</t>
  </si>
  <si>
    <t>MATEMATIKA</t>
  </si>
  <si>
    <t>BHS INDONESIA</t>
  </si>
  <si>
    <t>BHS INGGRIS</t>
  </si>
  <si>
    <t>IPA</t>
  </si>
  <si>
    <t>IPS</t>
  </si>
  <si>
    <t>PKN</t>
  </si>
  <si>
    <t>PRAKARYA</t>
  </si>
  <si>
    <t>TIK</t>
  </si>
  <si>
    <t>REKAPITULASI RAPOT</t>
  </si>
  <si>
    <t>NO</t>
  </si>
  <si>
    <t>NAMA LENGKAP SANTRI</t>
  </si>
  <si>
    <t>UH</t>
  </si>
  <si>
    <t>MID</t>
  </si>
  <si>
    <t>UAS</t>
  </si>
  <si>
    <t>AKHIR</t>
  </si>
  <si>
    <t>TOTAL</t>
  </si>
  <si>
    <t>RATA2</t>
  </si>
  <si>
    <t>RANK</t>
  </si>
  <si>
    <t>PREDIKAT</t>
  </si>
  <si>
    <t>Afifah Sidqia</t>
  </si>
  <si>
    <t>Aliyah Syafira</t>
  </si>
  <si>
    <t>Asmaul Husna Aryani</t>
  </si>
  <si>
    <t>Aufa Azalia</t>
  </si>
  <si>
    <t>Balqis Sari Mustika</t>
  </si>
  <si>
    <t>Bening Najma Ismail</t>
  </si>
  <si>
    <t>Hilmi Hafsoh</t>
  </si>
  <si>
    <t>Keysa Assabiya Rafifa</t>
  </si>
  <si>
    <t>Khayla Najmy Ardini</t>
  </si>
  <si>
    <t>Qonita Azzahra</t>
  </si>
  <si>
    <t>Safa Indri Yani</t>
  </si>
  <si>
    <t>Shazia Jasmine Az-Zahwa</t>
  </si>
  <si>
    <t>Shela Fahira Suhendar</t>
  </si>
  <si>
    <t>Shely Andini Suhendar</t>
  </si>
  <si>
    <t>Syaza Auni Prasetyo</t>
  </si>
  <si>
    <t>Tatu Husna Nurul Hapidah</t>
  </si>
  <si>
    <t>Ulfatujjadidah</t>
  </si>
  <si>
    <t>Vannesia Putri</t>
  </si>
  <si>
    <t>Yuyun Adya Ghraini</t>
  </si>
  <si>
    <t>Zian Rameyza</t>
  </si>
  <si>
    <t>RATA-RATA KELAS</t>
  </si>
  <si>
    <t>-</t>
  </si>
  <si>
    <t>NILAI TERTINGGI (MAX)</t>
  </si>
  <si>
    <t>NILAI TERENDAH (MIN)</t>
  </si>
  <si>
    <t>DAFTAR NILAI RAPOT SANTRI — KELAS 8 SMP (TP 2026/2027)</t>
  </si>
  <si>
    <t>SMP TELAGA SUNNAH • KELAS 8 SMP • TAHUN PELAJARAN 2026/2027</t>
  </si>
  <si>
    <t>Total: 17 Santri</t>
  </si>
  <si>
    <t>Ainayya Nuriel Ihsan</t>
  </si>
  <si>
    <t>Annisa Hidayah Nurussunnah</t>
  </si>
  <si>
    <t>Atika Aisyah</t>
  </si>
  <si>
    <t>Az-Zahra Salsabila</t>
  </si>
  <si>
    <t>Chila Miftahul Janah</t>
  </si>
  <si>
    <t>Dechila Fadillah Setiawan</t>
  </si>
  <si>
    <t>Elin Setia Wati</t>
  </si>
  <si>
    <t>Fega Aulia Putri</t>
  </si>
  <si>
    <t>Fhisnia Anisa Sholehah</t>
  </si>
  <si>
    <t>Hanifa</t>
  </si>
  <si>
    <t>Iqlima Izzatul Hasanah</t>
  </si>
  <si>
    <t>Jihan Qonita Khamelia</t>
  </si>
  <si>
    <t>Nadyah Artala Marsid</t>
  </si>
  <si>
    <t>Naiyla Salsabrina</t>
  </si>
  <si>
    <t>Qonitatun Hafizhoh</t>
  </si>
  <si>
    <t>Rayya Faiza Balqis</t>
  </si>
  <si>
    <t>Unzila Istiqomah</t>
  </si>
  <si>
    <t>DAFTAR NILAI RAPOT SANTRI — KELAS 9 SMP (TP 2026/2027)</t>
  </si>
  <si>
    <t>SMP TELAGA SUNNAH • KELAS 9 SMP • TAHUN PELAJARAN 2026/2027</t>
  </si>
  <si>
    <t>Total: 25 Santri</t>
  </si>
  <si>
    <t>Akilla Nasywa</t>
  </si>
  <si>
    <t>Alisha Nurmala Dewi</t>
  </si>
  <si>
    <t>Al-Lathifa Pria Hanindyta</t>
  </si>
  <si>
    <t>Annisa Balqis Azzahra</t>
  </si>
  <si>
    <t>Annisa Nabilla Alfania</t>
  </si>
  <si>
    <t>Assyfa Rahma Irawadi</t>
  </si>
  <si>
    <t>Dzakia Rihadatul Adhwa</t>
  </si>
  <si>
    <t>Fina Fadhilatul Muthi'ah</t>
  </si>
  <si>
    <t>Habibah Hasna Sukoco</t>
  </si>
  <si>
    <t>Izza Rahma Wati</t>
  </si>
  <si>
    <t>Kinar Kirana Chotimah</t>
  </si>
  <si>
    <t>Leila iren Suprapto</t>
  </si>
  <si>
    <t>Lutvy Al-Muslimah</t>
  </si>
  <si>
    <t>Miftha Talita Zakiah</t>
  </si>
  <si>
    <t>Nafisatun Najuwa</t>
  </si>
  <si>
    <t>Nazia Azahwa</t>
  </si>
  <si>
    <t>Raqiqa Nurin Mahira</t>
  </si>
  <si>
    <t>Saffanah Muzdhalifah</t>
  </si>
  <si>
    <t>Salwa Putri Azkia</t>
  </si>
  <si>
    <t>Siti Novianti Qholifah</t>
  </si>
  <si>
    <t>Sunur Najiah Hashifah</t>
  </si>
  <si>
    <t>Tiara Hesti Audina</t>
  </si>
  <si>
    <t>Umi Nur Hidayah</t>
  </si>
  <si>
    <t>Zahra Saputri</t>
  </si>
  <si>
    <t>Luluk Adelia Lutfia</t>
  </si>
  <si>
    <t>DAFTAR NILAI RAPOT SANTRI — KELAS 10 SMA (TP 2026/2027)</t>
  </si>
  <si>
    <t>SMA AS SYAIKHAN • KELAS 10 SMA • TAHUN PELAJARAN 2026/2027</t>
  </si>
  <si>
    <t>Total: 9 Santri</t>
  </si>
  <si>
    <t>Alya Zulaini</t>
  </si>
  <si>
    <t>Aziza</t>
  </si>
  <si>
    <t>Aziza Latif</t>
  </si>
  <si>
    <t>Brilliyan Ramadhan</t>
  </si>
  <si>
    <t>Khaisya Efendi Putri</t>
  </si>
  <si>
    <t>Marisa Septia Bella</t>
  </si>
  <si>
    <t>Saskia Alya Ramadhani</t>
  </si>
  <si>
    <t>Vebika Sandi Safitri</t>
  </si>
  <si>
    <t>Zayyini Husna Abida</t>
  </si>
  <si>
    <t>DAFTAR NILAI RAPOT SANTRI — KELAS 11 SMA (TP 2026/2027)</t>
  </si>
  <si>
    <t>SMA AS SYAIKHAN • KELAS 11 SMA • TAHUN PELAJARAN 2026/2027</t>
  </si>
  <si>
    <t>Total: 14 Santri</t>
  </si>
  <si>
    <t>Sosiologi</t>
  </si>
  <si>
    <t>Chika Kholifatul Latiffa</t>
  </si>
  <si>
    <t>Dewi Hasanah</t>
  </si>
  <si>
    <t>Eka Wahyu Nur Kholimah</t>
  </si>
  <si>
    <t>Khoirun Nis'A</t>
  </si>
  <si>
    <t>Kinanti Diva Meisya</t>
  </si>
  <si>
    <t>Nabila Fatin</t>
  </si>
  <si>
    <t>Natzwa Fitriani</t>
  </si>
  <si>
    <t>Rifa Rumaisya Kamal</t>
  </si>
  <si>
    <t>Nurma Khoirunnisa</t>
  </si>
  <si>
    <t>Suci Romadhona</t>
  </si>
  <si>
    <t>Zaskia Rahma Isnaini</t>
  </si>
  <si>
    <t>Aulia Silvina Muklis</t>
  </si>
  <si>
    <t>Nadin Hasheiva Zahrani</t>
  </si>
  <si>
    <t>Warisa</t>
  </si>
  <si>
    <t>DAFTAR NILAI RAPOT SANTRI — KELAS 12 SMA (TP 2026/2027)</t>
  </si>
  <si>
    <t>SMA AS SYAIKHAN • KELAS 12 SMA • TAHUN PELAJARAN 2026/2027</t>
  </si>
  <si>
    <t>Total: 19 Santri</t>
  </si>
  <si>
    <t>Aulia Salsabila Lubis</t>
  </si>
  <si>
    <t>Dina Febriyanti</t>
  </si>
  <si>
    <t>Dinah Syakira</t>
  </si>
  <si>
    <t>Dzulfa Salsabila</t>
  </si>
  <si>
    <t>Jean Sentari</t>
  </si>
  <si>
    <t>Jihan Nabila</t>
  </si>
  <si>
    <t>Khanza Nur Rahma Al Magh Fira</t>
  </si>
  <si>
    <t>Milani Az Zahra</t>
  </si>
  <si>
    <t>Nabila felicia</t>
  </si>
  <si>
    <t>Rumaisha Al-Hawra</t>
  </si>
  <si>
    <t>Sab'Atul Mukharomah</t>
  </si>
  <si>
    <t>Sara Janina Arifin</t>
  </si>
  <si>
    <t>Sifa Khalis Dahlina</t>
  </si>
  <si>
    <t>Sifa Khanif Azzahra</t>
  </si>
  <si>
    <t>Sokhivatul Izah</t>
  </si>
  <si>
    <t>Tirtana Prasetyo</t>
  </si>
  <si>
    <t>Zahirotun Nafisah</t>
  </si>
  <si>
    <t>Jamilatun Humairo</t>
  </si>
  <si>
    <t>Rifta Ikhda Adha Maulida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</si>
</sst>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4.0"/>
      <color rgb="FF1E3A8A"/>
      <name val="Quattrocento Sans"/>
    </font>
    <font>
      <b/>
      <sz val="9.0"/>
      <color rgb="FF475569"/>
      <name val="Quattrocento Sans"/>
    </font>
    <font>
      <i/>
      <sz val="8.0"/>
      <color rgb="FF64748B"/>
      <name val="Quattrocento Sans"/>
    </font>
    <font>
      <b/>
      <u/>
      <sz val="8.0"/>
      <color rgb="FF1E40AF"/>
      <name val="Quattrocento Sans"/>
    </font>
    <font>
      <b/>
      <sz val="9.0"/>
      <color rgb="FFFFFFFF"/>
      <name val="Quattrocento Sans"/>
    </font>
    <font/>
    <font>
      <b/>
      <sz val="8.0"/>
      <color rgb="FF1E293B"/>
      <name val="Quattrocento Sans"/>
    </font>
    <font>
      <sz val="9.0"/>
      <color rgb="FF0F172A"/>
      <name val="Quattrocento Sans"/>
    </font>
    <font>
      <b/>
      <sz val="10.0"/>
      <color rgb="FF0F172A"/>
      <name val="Quattrocento Sans"/>
    </font>
    <font>
      <b/>
      <sz val="9.0"/>
      <color rgb="FF1E3A8A"/>
      <name val="Quattrocento Sans"/>
    </font>
    <font>
      <b/>
      <sz val="8.0"/>
      <color rgb="FF065F46"/>
      <name val="Quattrocento Sans"/>
    </font>
    <font>
      <b/>
      <sz val="8.0"/>
      <color rgb="FF0F172A"/>
      <name val="Quattrocento Sans"/>
    </font>
  </fonts>
  <fills count="27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1E40AF"/>
        <bgColor rgb="FF1E40AF"/>
      </patternFill>
    </fill>
    <fill>
      <patternFill patternType="solid">
        <fgColor rgb="FF0F766E"/>
        <bgColor rgb="FF0F766E"/>
      </patternFill>
    </fill>
    <fill>
      <patternFill patternType="solid">
        <fgColor rgb="FF6D28D9"/>
        <bgColor rgb="FF6D28D9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B91C1C"/>
        <bgColor rgb="FFB91C1C"/>
      </patternFill>
    </fill>
    <fill>
      <patternFill patternType="solid">
        <fgColor rgb="FF475569"/>
        <bgColor rgb="FF475569"/>
      </patternFill>
    </fill>
    <fill>
      <patternFill patternType="solid">
        <fgColor rgb="FF0369A1"/>
        <bgColor rgb="FF0369A1"/>
      </patternFill>
    </fill>
    <fill>
      <patternFill patternType="solid">
        <fgColor rgb="FF065F46"/>
        <bgColor rgb="FF065F46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FEF08A"/>
        <bgColor rgb="FFFEF08A"/>
      </patternFill>
    </fill>
    <fill>
      <patternFill patternType="solid">
        <fgColor rgb="FFCCFBF1"/>
        <bgColor rgb="FFCCFBF1"/>
      </patternFill>
    </fill>
    <fill>
      <patternFill patternType="solid">
        <fgColor rgb="FFEDE9FE"/>
        <bgColor rgb="FFEDE9FE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0F2FE"/>
        <bgColor rgb="FFE0F2FE"/>
      </patternFill>
    </fill>
    <fill>
      <patternFill patternType="solid">
        <fgColor rgb="FFD1FAE5"/>
        <bgColor rgb="FFD1FAE5"/>
      </patternFill>
    </fill>
    <fill>
      <patternFill patternType="solid">
        <fgColor rgb="FFFFFFFF"/>
        <bgColor rgb="FFFFFFFF"/>
      </patternFill>
    </fill>
    <fill>
      <patternFill patternType="solid">
        <fgColor rgb="FFFEF9C3"/>
        <bgColor rgb="FFFEF9C3"/>
      </patternFill>
    </fill>
    <fill>
      <patternFill patternType="solid">
        <fgColor rgb="FFECFDF5"/>
        <bgColor rgb="FFECFDF5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17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medium">
        <color rgb="FF64748B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medium">
        <color rgb="FF64748B"/>
      </top>
      <bottom style="thin">
        <color rgb="FFCBD5E1"/>
      </bottom>
    </border>
    <border>
      <right style="medium">
        <color rgb="FF64748B"/>
      </right>
      <top style="medium">
        <color rgb="FF64748B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medium">
        <color rgb="FF64748B"/>
      </top>
      <bottom style="thin">
        <color rgb="FFCBD5E1"/>
      </bottom>
    </border>
    <border>
      <left style="thin">
        <color rgb="FFCBD5E1"/>
      </left>
      <right style="medium">
        <color rgb="FF64748B"/>
      </right>
      <top style="medium">
        <color rgb="FF64748B"/>
      </top>
      <bottom style="thin">
        <color rgb="FFCBD5E1"/>
      </bottom>
    </border>
    <border>
      <right style="medium">
        <color rgb="FF64748B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double">
        <color rgb="FF334155"/>
      </bottom>
    </border>
    <border>
      <right style="medium">
        <color rgb="FF64748B"/>
      </right>
      <top style="thin">
        <color rgb="FFCBD5E1"/>
      </top>
      <bottom style="double">
        <color rgb="FF33415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334155"/>
      </bottom>
    </border>
    <border>
      <left style="thin">
        <color rgb="FFCBD5E1"/>
      </left>
      <right style="medium">
        <color rgb="FF64748B"/>
      </right>
      <top style="thin">
        <color rgb="FFCBD5E1"/>
      </top>
      <bottom style="double">
        <color rgb="FF334155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bottom style="medium">
        <color rgb="FF64748B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1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1" fillId="4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4" fillId="12" fontId="7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center" shrinkToFit="0" vertical="center" wrapText="1"/>
    </xf>
    <xf borderId="4" fillId="15" fontId="7" numFmtId="0" xfId="0" applyAlignment="1" applyBorder="1" applyFill="1" applyFont="1">
      <alignment horizontal="center" shrinkToFit="0" vertical="center" wrapText="1"/>
    </xf>
    <xf borderId="4" fillId="16" fontId="7" numFmtId="0" xfId="0" applyAlignment="1" applyBorder="1" applyFill="1" applyFont="1">
      <alignment horizontal="center" shrinkToFit="0" vertical="center" wrapText="1"/>
    </xf>
    <xf borderId="4" fillId="17" fontId="7" numFmtId="0" xfId="0" applyAlignment="1" applyBorder="1" applyFill="1" applyFont="1">
      <alignment horizontal="center" shrinkToFit="0" vertical="center" wrapText="1"/>
    </xf>
    <xf borderId="4" fillId="18" fontId="7" numFmtId="0" xfId="0" applyAlignment="1" applyBorder="1" applyFill="1" applyFont="1">
      <alignment horizontal="center" shrinkToFit="0" vertical="center" wrapText="1"/>
    </xf>
    <xf borderId="4" fillId="19" fontId="7" numFmtId="0" xfId="0" applyAlignment="1" applyBorder="1" applyFill="1" applyFont="1">
      <alignment horizontal="center" shrinkToFit="0" vertical="center" wrapText="1"/>
    </xf>
    <xf borderId="4" fillId="20" fontId="7" numFmtId="0" xfId="0" applyAlignment="1" applyBorder="1" applyFill="1" applyFont="1">
      <alignment horizontal="center" shrinkToFit="0" vertical="center" wrapText="1"/>
    </xf>
    <xf borderId="4" fillId="21" fontId="7" numFmtId="0" xfId="0" applyAlignment="1" applyBorder="1" applyFill="1" applyFont="1">
      <alignment horizontal="center" shrinkToFit="0" vertical="center" wrapText="1"/>
    </xf>
    <xf borderId="4" fillId="22" fontId="8" numFmtId="0" xfId="0" applyAlignment="1" applyBorder="1" applyFill="1" applyFont="1">
      <alignment horizontal="center" vertical="center"/>
    </xf>
    <xf borderId="5" fillId="22" fontId="9" numFmtId="0" xfId="0" applyAlignment="1" applyBorder="1" applyFill="1" applyFont="1">
      <alignment horizontal="left" shrinkToFit="0" vertical="center" wrapText="1"/>
    </xf>
    <xf borderId="4" fillId="22" fontId="8" numFmtId="164" xfId="0" applyAlignment="1" applyBorder="1" applyFill="1" applyFont="1" applyNumberFormat="1">
      <alignment horizontal="center" readingOrder="0" vertical="center"/>
    </xf>
    <xf borderId="4" fillId="22" fontId="8" numFmtId="164" xfId="0" applyAlignment="1" applyBorder="1" applyFill="1" applyFont="1" applyNumberFormat="1">
      <alignment horizontal="center" vertical="center"/>
    </xf>
    <xf borderId="5" fillId="23" fontId="10" numFmtId="164" xfId="0" applyAlignment="1" applyBorder="1" applyFill="1" applyFont="1" applyNumberFormat="1">
      <alignment horizontal="center" vertical="center"/>
    </xf>
    <xf borderId="4" fillId="24" fontId="11" numFmtId="164" xfId="0" applyAlignment="1" applyBorder="1" applyFill="1" applyFont="1" applyNumberFormat="1">
      <alignment horizontal="center" vertical="center"/>
    </xf>
    <xf borderId="4" fillId="24" fontId="12" numFmtId="0" xfId="0" applyAlignment="1" applyBorder="1" applyFill="1" applyFont="1">
      <alignment horizontal="center" vertical="center"/>
    </xf>
    <xf borderId="5" fillId="24" fontId="12" numFmtId="0" xfId="0" applyAlignment="1" applyBorder="1" applyFill="1" applyFont="1">
      <alignment horizontal="center" vertical="center"/>
    </xf>
    <xf borderId="4" fillId="25" fontId="8" numFmtId="0" xfId="0" applyAlignment="1" applyBorder="1" applyFill="1" applyFont="1">
      <alignment horizontal="center" vertical="center"/>
    </xf>
    <xf borderId="5" fillId="25" fontId="9" numFmtId="0" xfId="0" applyAlignment="1" applyBorder="1" applyFill="1" applyFont="1">
      <alignment horizontal="left" shrinkToFit="0" vertical="center" wrapText="1"/>
    </xf>
    <xf borderId="4" fillId="25" fontId="8" numFmtId="164" xfId="0" applyAlignment="1" applyBorder="1" applyFill="1" applyFont="1" applyNumberFormat="1">
      <alignment horizontal="center" readingOrder="0" vertical="center"/>
    </xf>
    <xf borderId="4" fillId="25" fontId="8" numFmtId="164" xfId="0" applyAlignment="1" applyBorder="1" applyFill="1" applyFont="1" applyNumberFormat="1">
      <alignment horizontal="center" vertical="center"/>
    </xf>
    <xf borderId="6" fillId="26" fontId="7" numFmtId="0" xfId="0" applyAlignment="1" applyBorder="1" applyFill="1" applyFont="1">
      <alignment horizontal="right" vertical="center"/>
    </xf>
    <xf borderId="7" fillId="0" fontId="6" numFmtId="0" xfId="0" applyBorder="1" applyFont="1"/>
    <xf borderId="8" fillId="12" fontId="12" numFmtId="164" xfId="0" applyAlignment="1" applyBorder="1" applyFill="1" applyFont="1" applyNumberFormat="1">
      <alignment horizontal="center" vertical="center"/>
    </xf>
    <xf borderId="9" fillId="12" fontId="12" numFmtId="164" xfId="0" applyAlignment="1" applyBorder="1" applyFill="1" applyFont="1" applyNumberFormat="1">
      <alignment horizontal="center" vertical="center"/>
    </xf>
    <xf borderId="1" fillId="26" fontId="7" numFmtId="0" xfId="0" applyAlignment="1" applyBorder="1" applyFill="1" applyFont="1">
      <alignment horizontal="right" vertical="center"/>
    </xf>
    <xf borderId="10" fillId="0" fontId="6" numFmtId="0" xfId="0" applyBorder="1" applyFont="1"/>
    <xf borderId="4" fillId="12" fontId="12" numFmtId="164" xfId="0" applyAlignment="1" applyBorder="1" applyFill="1" applyFont="1" applyNumberFormat="1">
      <alignment horizontal="center" vertical="center"/>
    </xf>
    <xf borderId="5" fillId="12" fontId="12" numFmtId="164" xfId="0" applyAlignment="1" applyBorder="1" applyFill="1" applyFont="1" applyNumberFormat="1">
      <alignment horizontal="center" vertical="center"/>
    </xf>
    <xf borderId="11" fillId="26" fontId="7" numFmtId="0" xfId="0" applyAlignment="1" applyBorder="1" applyFill="1" applyFont="1">
      <alignment horizontal="right" vertical="center"/>
    </xf>
    <xf borderId="12" fillId="0" fontId="6" numFmtId="0" xfId="0" applyBorder="1" applyFont="1"/>
    <xf borderId="13" fillId="12" fontId="12" numFmtId="164" xfId="0" applyAlignment="1" applyBorder="1" applyFill="1" applyFont="1" applyNumberFormat="1">
      <alignment horizontal="center" vertical="center"/>
    </xf>
    <xf borderId="14" fillId="12" fontId="12" numFmtId="164" xfId="0" applyAlignment="1" applyBorder="1" applyFill="1" applyFont="1" applyNumberFormat="1">
      <alignment horizontal="center" vertical="center"/>
    </xf>
    <xf borderId="4" fillId="22" fontId="8" numFmtId="164" xfId="0" applyAlignment="1" applyBorder="1" applyFill="1" applyFont="1" applyNumberFormat="1">
      <alignment horizontal="center" readingOrder="0" shrinkToFit="0" vertical="center" wrapText="1"/>
    </xf>
    <xf borderId="4" fillId="22" fontId="8" numFmtId="164" xfId="0" applyAlignment="1" applyBorder="1" applyFill="1" applyFont="1" applyNumberFormat="1">
      <alignment horizontal="center"/>
    </xf>
    <xf borderId="15" fillId="22" fontId="8" numFmtId="164" xfId="0" applyAlignment="1" applyBorder="1" applyFill="1" applyFont="1" applyNumberFormat="1">
      <alignment horizontal="center"/>
    </xf>
    <xf borderId="16" fillId="22" fontId="8" numFmtId="164" xfId="0" applyAlignment="1" applyBorder="1" applyFill="1" applyFont="1" applyNumberFormat="1">
      <alignment horizontal="center"/>
    </xf>
    <xf borderId="1" fillId="6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86"/>
    <col customWidth="1" min="2" max="2" width="26.86"/>
    <col customWidth="1" min="3" max="5" width="5.43"/>
    <col customWidth="1" min="6" max="6" width="6.86"/>
    <col customWidth="1" min="7" max="9" width="5.43"/>
    <col customWidth="1" min="10" max="10" width="6.86"/>
    <col customWidth="1" min="11" max="13" width="5.43"/>
    <col customWidth="1" min="14" max="14" width="6.86"/>
    <col customWidth="1" min="15" max="17" width="5.43"/>
    <col customWidth="1" min="18" max="18" width="6.86"/>
    <col customWidth="1" min="19" max="21" width="5.43"/>
    <col customWidth="1" min="22" max="22" width="6.86"/>
    <col customWidth="1" min="23" max="25" width="5.43"/>
    <col customWidth="1" min="26" max="26" width="6.86"/>
    <col customWidth="1" min="27" max="29" width="5.43"/>
    <col customWidth="1" min="30" max="30" width="6.86"/>
    <col customWidth="1" min="31" max="33" width="5.43"/>
    <col customWidth="1" min="34" max="34" width="6.86"/>
    <col customWidth="1" min="35" max="36" width="7.43"/>
    <col customWidth="1" min="37" max="37" width="6.0"/>
    <col customWidth="1" min="38" max="38" width="13.0"/>
  </cols>
  <sheetData>
    <row r="1" ht="27.75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C3" s="4" t="s">
        <v>3</v>
      </c>
      <c r="AI3" s="5" t="str">
        <f>HYPERLINK("#'Dashboard &amp; Panduan'!A1", "⬅ Kembali ke Menu")</f>
        <v>⬅ Kembali ke Menu</v>
      </c>
    </row>
    <row r="4" ht="6.0" customHeight="1"/>
    <row r="5" ht="24.0" customHeight="1">
      <c r="A5" s="6" t="s">
        <v>4</v>
      </c>
      <c r="B5" s="7"/>
      <c r="C5" s="8" t="s">
        <v>5</v>
      </c>
      <c r="D5" s="9"/>
      <c r="E5" s="9"/>
      <c r="F5" s="7"/>
      <c r="G5" s="10" t="s">
        <v>6</v>
      </c>
      <c r="H5" s="9"/>
      <c r="I5" s="9"/>
      <c r="J5" s="7"/>
      <c r="K5" s="11" t="s">
        <v>7</v>
      </c>
      <c r="L5" s="9"/>
      <c r="M5" s="9"/>
      <c r="N5" s="7"/>
      <c r="O5" s="12" t="s">
        <v>8</v>
      </c>
      <c r="P5" s="9"/>
      <c r="Q5" s="9"/>
      <c r="R5" s="7"/>
      <c r="S5" s="13" t="s">
        <v>9</v>
      </c>
      <c r="T5" s="9"/>
      <c r="U5" s="9"/>
      <c r="V5" s="7"/>
      <c r="W5" s="14" t="s">
        <v>10</v>
      </c>
      <c r="X5" s="9"/>
      <c r="Y5" s="9"/>
      <c r="Z5" s="7"/>
      <c r="AA5" s="15" t="s">
        <v>11</v>
      </c>
      <c r="AB5" s="9"/>
      <c r="AC5" s="9"/>
      <c r="AD5" s="7"/>
      <c r="AE5" s="16" t="s">
        <v>12</v>
      </c>
      <c r="AF5" s="9"/>
      <c r="AG5" s="9"/>
      <c r="AH5" s="7"/>
      <c r="AI5" s="17" t="s">
        <v>13</v>
      </c>
      <c r="AJ5" s="9"/>
      <c r="AK5" s="9"/>
      <c r="AL5" s="7"/>
    </row>
    <row r="6" ht="19.5" customHeight="1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20" t="s">
        <v>19</v>
      </c>
      <c r="G6" s="21" t="s">
        <v>16</v>
      </c>
      <c r="H6" s="21" t="s">
        <v>17</v>
      </c>
      <c r="I6" s="21" t="s">
        <v>18</v>
      </c>
      <c r="J6" s="20" t="s">
        <v>19</v>
      </c>
      <c r="K6" s="22" t="s">
        <v>16</v>
      </c>
      <c r="L6" s="22" t="s">
        <v>17</v>
      </c>
      <c r="M6" s="22" t="s">
        <v>18</v>
      </c>
      <c r="N6" s="20" t="s">
        <v>19</v>
      </c>
      <c r="O6" s="23" t="s">
        <v>16</v>
      </c>
      <c r="P6" s="23" t="s">
        <v>17</v>
      </c>
      <c r="Q6" s="23" t="s">
        <v>18</v>
      </c>
      <c r="R6" s="20" t="s">
        <v>19</v>
      </c>
      <c r="S6" s="24" t="s">
        <v>16</v>
      </c>
      <c r="T6" s="24" t="s">
        <v>17</v>
      </c>
      <c r="U6" s="24" t="s">
        <v>18</v>
      </c>
      <c r="V6" s="20" t="s">
        <v>19</v>
      </c>
      <c r="W6" s="25" t="s">
        <v>16</v>
      </c>
      <c r="X6" s="25" t="s">
        <v>17</v>
      </c>
      <c r="Y6" s="25" t="s">
        <v>18</v>
      </c>
      <c r="Z6" s="20" t="s">
        <v>19</v>
      </c>
      <c r="AA6" s="18" t="s">
        <v>16</v>
      </c>
      <c r="AB6" s="18" t="s">
        <v>17</v>
      </c>
      <c r="AC6" s="18" t="s">
        <v>18</v>
      </c>
      <c r="AD6" s="20" t="s">
        <v>19</v>
      </c>
      <c r="AE6" s="26" t="s">
        <v>16</v>
      </c>
      <c r="AF6" s="26" t="s">
        <v>17</v>
      </c>
      <c r="AG6" s="26" t="s">
        <v>18</v>
      </c>
      <c r="AH6" s="20" t="s">
        <v>19</v>
      </c>
      <c r="AI6" s="27" t="s">
        <v>20</v>
      </c>
      <c r="AJ6" s="27" t="s">
        <v>21</v>
      </c>
      <c r="AK6" s="27" t="s">
        <v>22</v>
      </c>
      <c r="AL6" s="27" t="s">
        <v>23</v>
      </c>
    </row>
    <row r="7" ht="25.5" customHeight="1">
      <c r="A7" s="28">
        <v>1.0</v>
      </c>
      <c r="B7" s="29" t="s">
        <v>24</v>
      </c>
      <c r="C7" s="30">
        <v>85.0</v>
      </c>
      <c r="D7" s="30">
        <v>50.0</v>
      </c>
      <c r="E7" s="31"/>
      <c r="F7" s="32">
        <f t="shared" ref="F7:F26" si="1">IF(COUNT(C7:E7)=0, "", ROUND(C7*0.4 + D7*0.4 + E7*0.2, 1))</f>
        <v>54</v>
      </c>
      <c r="G7" s="31"/>
      <c r="H7" s="30">
        <v>75.0</v>
      </c>
      <c r="I7" s="31"/>
      <c r="J7" s="32">
        <f t="shared" ref="J7:J26" si="2">IF(COUNT(G7:I7)=0, "", ROUND(G7*0.4 + H7*0.4 + I7*0.2, 1))</f>
        <v>30</v>
      </c>
      <c r="K7" s="30"/>
      <c r="L7" s="30">
        <v>60.0</v>
      </c>
      <c r="M7" s="30"/>
      <c r="N7" s="32">
        <f t="shared" ref="N7:N26" si="3">IF(COUNT(K7:M7)=0, "", ROUND(K7*0.4 + L7*0.4 + M7*0.2, 1))</f>
        <v>24</v>
      </c>
      <c r="O7" s="31"/>
      <c r="P7" s="30">
        <v>63.0</v>
      </c>
      <c r="Q7" s="31"/>
      <c r="R7" s="32">
        <f t="shared" ref="R7:R26" si="4">IF(COUNT(O7:Q7)=0, "", ROUND(O7*0.4 + P7*0.4 + Q7*0.2, 1))</f>
        <v>25.2</v>
      </c>
      <c r="S7" s="30">
        <v>79.0</v>
      </c>
      <c r="T7" s="30">
        <v>84.0</v>
      </c>
      <c r="U7" s="30"/>
      <c r="V7" s="32">
        <f t="shared" ref="V7:V26" si="5">IF(COUNT(S7:U7)=0, "", ROUND(S7*0.4 + T7*0.4 + U7*0.2, 1))</f>
        <v>65.2</v>
      </c>
      <c r="W7" s="31"/>
      <c r="X7" s="30">
        <v>85.0</v>
      </c>
      <c r="Y7" s="31"/>
      <c r="Z7" s="32">
        <f t="shared" ref="Z7:Z26" si="6">IF(COUNT(W7:Y7)=0, "", ROUND(W7*0.4 + X7*0.4 + Y7*0.2, 1))</f>
        <v>34</v>
      </c>
      <c r="AA7" s="30"/>
      <c r="AB7" s="30">
        <v>83.0</v>
      </c>
      <c r="AC7" s="30"/>
      <c r="AD7" s="32">
        <f t="shared" ref="AD7:AD26" si="7">IF(COUNT(AA7:AC7)=0, "", ROUND(AA7*0.4 + AB7*0.4 + AC7*0.2, 1))</f>
        <v>33.2</v>
      </c>
      <c r="AE7" s="31"/>
      <c r="AF7" s="31"/>
      <c r="AG7" s="31"/>
      <c r="AH7" s="32" t="str">
        <f t="shared" ref="AH7:AH26" si="8">IF(COUNT(AE7:AG7)=0, "", ROUND(AE7*0.4 + AF7*0.4 + AG7*0.2, 1))</f>
        <v/>
      </c>
      <c r="AI7" s="33">
        <f t="shared" ref="AI7:AI26" si="9">IFERROR(SUM(F7,J7,N7,R7,V7,Z7,AD7,AH7), "")</f>
        <v>265.6</v>
      </c>
      <c r="AJ7" s="33">
        <f t="shared" ref="AJ7:AJ26" si="10">IFERROR(ROUND(AVERAGE(F7,J7,N7,R7,V7,Z7,AD7,AH7), 1), "")</f>
        <v>37.9</v>
      </c>
      <c r="AK7" s="34">
        <f t="shared" ref="AK7:AK26" si="11">IF(AJ7="", "", RANK(AJ7, $AJ$7:$AJ$26))</f>
        <v>17</v>
      </c>
      <c r="AL7" s="35" t="str">
        <f t="shared" ref="AL7:AL26" si="12">IF(AJ7="", "", IF(AJ7&gt;=90, "A (Sangat Baik)", IF(AJ7&gt;=80, "B (Baik)", IF(AJ7&gt;=70, "C (Cukup)", "D (Kurang)"))))</f>
        <v>D (Kurang)</v>
      </c>
    </row>
    <row r="8" ht="25.5" customHeight="1">
      <c r="A8" s="36">
        <v>2.0</v>
      </c>
      <c r="B8" s="37" t="s">
        <v>25</v>
      </c>
      <c r="C8" s="38">
        <v>90.0</v>
      </c>
      <c r="D8" s="38">
        <v>40.0</v>
      </c>
      <c r="E8" s="39"/>
      <c r="F8" s="32">
        <f t="shared" si="1"/>
        <v>52</v>
      </c>
      <c r="G8" s="39"/>
      <c r="H8" s="38">
        <v>80.0</v>
      </c>
      <c r="I8" s="39"/>
      <c r="J8" s="32">
        <f t="shared" si="2"/>
        <v>32</v>
      </c>
      <c r="K8" s="39"/>
      <c r="L8" s="38">
        <v>90.0</v>
      </c>
      <c r="M8" s="39"/>
      <c r="N8" s="32">
        <f t="shared" si="3"/>
        <v>36</v>
      </c>
      <c r="O8" s="39"/>
      <c r="P8" s="38">
        <v>83.0</v>
      </c>
      <c r="Q8" s="39"/>
      <c r="R8" s="32">
        <f t="shared" si="4"/>
        <v>33.2</v>
      </c>
      <c r="S8" s="38">
        <v>75.0</v>
      </c>
      <c r="T8" s="38">
        <v>78.0</v>
      </c>
      <c r="U8" s="39"/>
      <c r="V8" s="32">
        <f t="shared" si="5"/>
        <v>61.2</v>
      </c>
      <c r="W8" s="39"/>
      <c r="X8" s="38">
        <v>85.0</v>
      </c>
      <c r="Y8" s="39"/>
      <c r="Z8" s="32">
        <f t="shared" si="6"/>
        <v>34</v>
      </c>
      <c r="AA8" s="39"/>
      <c r="AB8" s="38">
        <v>78.0</v>
      </c>
      <c r="AC8" s="39"/>
      <c r="AD8" s="32">
        <f t="shared" si="7"/>
        <v>31.2</v>
      </c>
      <c r="AE8" s="39"/>
      <c r="AF8" s="39"/>
      <c r="AG8" s="39"/>
      <c r="AH8" s="32" t="str">
        <f t="shared" si="8"/>
        <v/>
      </c>
      <c r="AI8" s="33">
        <f t="shared" si="9"/>
        <v>279.6</v>
      </c>
      <c r="AJ8" s="33">
        <f t="shared" si="10"/>
        <v>39.9</v>
      </c>
      <c r="AK8" s="34">
        <f t="shared" si="11"/>
        <v>13</v>
      </c>
      <c r="AL8" s="35" t="str">
        <f t="shared" si="12"/>
        <v>D (Kurang)</v>
      </c>
    </row>
    <row r="9" ht="25.5" customHeight="1">
      <c r="A9" s="28">
        <v>3.0</v>
      </c>
      <c r="B9" s="29" t="s">
        <v>26</v>
      </c>
      <c r="C9" s="30">
        <v>85.0</v>
      </c>
      <c r="D9" s="30">
        <v>84.0</v>
      </c>
      <c r="E9" s="31"/>
      <c r="F9" s="32">
        <f t="shared" si="1"/>
        <v>67.6</v>
      </c>
      <c r="G9" s="31"/>
      <c r="H9" s="30">
        <v>75.0</v>
      </c>
      <c r="I9" s="31"/>
      <c r="J9" s="32">
        <f t="shared" si="2"/>
        <v>30</v>
      </c>
      <c r="K9" s="31"/>
      <c r="L9" s="30">
        <v>30.0</v>
      </c>
      <c r="M9" s="31"/>
      <c r="N9" s="32">
        <f t="shared" si="3"/>
        <v>12</v>
      </c>
      <c r="O9" s="31"/>
      <c r="P9" s="30">
        <v>78.0</v>
      </c>
      <c r="Q9" s="31"/>
      <c r="R9" s="32">
        <f t="shared" si="4"/>
        <v>31.2</v>
      </c>
      <c r="S9" s="30">
        <v>75.0</v>
      </c>
      <c r="T9" s="30">
        <v>80.0</v>
      </c>
      <c r="U9" s="31"/>
      <c r="V9" s="32">
        <f t="shared" si="5"/>
        <v>62</v>
      </c>
      <c r="W9" s="31"/>
      <c r="X9" s="30">
        <v>84.0</v>
      </c>
      <c r="Y9" s="31"/>
      <c r="Z9" s="32">
        <f t="shared" si="6"/>
        <v>33.6</v>
      </c>
      <c r="AA9" s="31"/>
      <c r="AB9" s="30">
        <v>95.0</v>
      </c>
      <c r="AC9" s="31"/>
      <c r="AD9" s="32">
        <f t="shared" si="7"/>
        <v>38</v>
      </c>
      <c r="AE9" s="31"/>
      <c r="AF9" s="31"/>
      <c r="AG9" s="31"/>
      <c r="AH9" s="32" t="str">
        <f t="shared" si="8"/>
        <v/>
      </c>
      <c r="AI9" s="33">
        <f t="shared" si="9"/>
        <v>274.4</v>
      </c>
      <c r="AJ9" s="33">
        <f t="shared" si="10"/>
        <v>39.2</v>
      </c>
      <c r="AK9" s="34">
        <f t="shared" si="11"/>
        <v>15</v>
      </c>
      <c r="AL9" s="35" t="str">
        <f t="shared" si="12"/>
        <v>D (Kurang)</v>
      </c>
    </row>
    <row r="10" ht="25.5" customHeight="1">
      <c r="A10" s="36">
        <v>4.0</v>
      </c>
      <c r="B10" s="37" t="s">
        <v>27</v>
      </c>
      <c r="C10" s="38">
        <v>90.0</v>
      </c>
      <c r="D10" s="38">
        <v>50.0</v>
      </c>
      <c r="E10" s="39"/>
      <c r="F10" s="32">
        <f t="shared" si="1"/>
        <v>56</v>
      </c>
      <c r="G10" s="39"/>
      <c r="H10" s="38">
        <v>80.0</v>
      </c>
      <c r="I10" s="39"/>
      <c r="J10" s="32">
        <f t="shared" si="2"/>
        <v>32</v>
      </c>
      <c r="K10" s="38"/>
      <c r="L10" s="38">
        <v>50.0</v>
      </c>
      <c r="M10" s="38"/>
      <c r="N10" s="32">
        <f t="shared" si="3"/>
        <v>20</v>
      </c>
      <c r="O10" s="39"/>
      <c r="P10" s="39"/>
      <c r="Q10" s="39"/>
      <c r="R10" s="32" t="str">
        <f t="shared" si="4"/>
        <v/>
      </c>
      <c r="S10" s="39"/>
      <c r="T10" s="39"/>
      <c r="U10" s="39"/>
      <c r="V10" s="32" t="str">
        <f t="shared" si="5"/>
        <v/>
      </c>
      <c r="W10" s="39"/>
      <c r="X10" s="38">
        <v>80.0</v>
      </c>
      <c r="Y10" s="39"/>
      <c r="Z10" s="32">
        <f t="shared" si="6"/>
        <v>32</v>
      </c>
      <c r="AA10" s="39"/>
      <c r="AB10" s="38">
        <v>78.0</v>
      </c>
      <c r="AC10" s="39"/>
      <c r="AD10" s="32">
        <f t="shared" si="7"/>
        <v>31.2</v>
      </c>
      <c r="AE10" s="39"/>
      <c r="AF10" s="39"/>
      <c r="AG10" s="39"/>
      <c r="AH10" s="32" t="str">
        <f t="shared" si="8"/>
        <v/>
      </c>
      <c r="AI10" s="33">
        <f t="shared" si="9"/>
        <v>171.2</v>
      </c>
      <c r="AJ10" s="33">
        <f t="shared" si="10"/>
        <v>34.2</v>
      </c>
      <c r="AK10" s="34">
        <f t="shared" si="11"/>
        <v>20</v>
      </c>
      <c r="AL10" s="35" t="str">
        <f t="shared" si="12"/>
        <v>D (Kurang)</v>
      </c>
    </row>
    <row r="11" ht="25.5" customHeight="1">
      <c r="A11" s="28">
        <v>5.0</v>
      </c>
      <c r="B11" s="29" t="s">
        <v>28</v>
      </c>
      <c r="C11" s="30">
        <v>95.0</v>
      </c>
      <c r="D11" s="30">
        <v>50.0</v>
      </c>
      <c r="E11" s="31"/>
      <c r="F11" s="32">
        <f t="shared" si="1"/>
        <v>58</v>
      </c>
      <c r="G11" s="31"/>
      <c r="H11" s="30">
        <v>85.0</v>
      </c>
      <c r="I11" s="31"/>
      <c r="J11" s="32">
        <f t="shared" si="2"/>
        <v>34</v>
      </c>
      <c r="K11" s="31"/>
      <c r="L11" s="30">
        <v>80.0</v>
      </c>
      <c r="M11" s="31"/>
      <c r="N11" s="32">
        <f t="shared" si="3"/>
        <v>32</v>
      </c>
      <c r="O11" s="31"/>
      <c r="P11" s="30">
        <v>73.0</v>
      </c>
      <c r="Q11" s="31"/>
      <c r="R11" s="32">
        <f t="shared" si="4"/>
        <v>29.2</v>
      </c>
      <c r="S11" s="30">
        <v>78.0</v>
      </c>
      <c r="T11" s="30">
        <v>85.0</v>
      </c>
      <c r="U11" s="31"/>
      <c r="V11" s="32">
        <f t="shared" si="5"/>
        <v>65.2</v>
      </c>
      <c r="W11" s="31"/>
      <c r="X11" s="30">
        <v>82.0</v>
      </c>
      <c r="Y11" s="31"/>
      <c r="Z11" s="32">
        <f t="shared" si="6"/>
        <v>32.8</v>
      </c>
      <c r="AA11" s="31"/>
      <c r="AB11" s="30">
        <v>90.0</v>
      </c>
      <c r="AC11" s="31"/>
      <c r="AD11" s="32">
        <f t="shared" si="7"/>
        <v>36</v>
      </c>
      <c r="AE11" s="31"/>
      <c r="AF11" s="31"/>
      <c r="AG11" s="31"/>
      <c r="AH11" s="32" t="str">
        <f t="shared" si="8"/>
        <v/>
      </c>
      <c r="AI11" s="33">
        <f t="shared" si="9"/>
        <v>287.2</v>
      </c>
      <c r="AJ11" s="33">
        <f t="shared" si="10"/>
        <v>41</v>
      </c>
      <c r="AK11" s="34">
        <f t="shared" si="11"/>
        <v>8</v>
      </c>
      <c r="AL11" s="35" t="str">
        <f t="shared" si="12"/>
        <v>D (Kurang)</v>
      </c>
    </row>
    <row r="12" ht="25.5" customHeight="1">
      <c r="A12" s="36">
        <v>6.0</v>
      </c>
      <c r="B12" s="37" t="s">
        <v>29</v>
      </c>
      <c r="C12" s="38">
        <v>90.0</v>
      </c>
      <c r="D12" s="38">
        <v>50.0</v>
      </c>
      <c r="E12" s="39"/>
      <c r="F12" s="32">
        <f t="shared" si="1"/>
        <v>56</v>
      </c>
      <c r="G12" s="39"/>
      <c r="H12" s="38">
        <v>80.0</v>
      </c>
      <c r="I12" s="39"/>
      <c r="J12" s="32">
        <f t="shared" si="2"/>
        <v>32</v>
      </c>
      <c r="K12" s="39"/>
      <c r="L12" s="38">
        <v>80.0</v>
      </c>
      <c r="M12" s="39"/>
      <c r="N12" s="32">
        <f t="shared" si="3"/>
        <v>32</v>
      </c>
      <c r="O12" s="39"/>
      <c r="P12" s="38">
        <v>88.0</v>
      </c>
      <c r="Q12" s="39"/>
      <c r="R12" s="32">
        <f t="shared" si="4"/>
        <v>35.2</v>
      </c>
      <c r="S12" s="38">
        <v>73.0</v>
      </c>
      <c r="T12" s="38">
        <v>78.0</v>
      </c>
      <c r="U12" s="39"/>
      <c r="V12" s="32">
        <f t="shared" si="5"/>
        <v>60.4</v>
      </c>
      <c r="W12" s="39"/>
      <c r="X12" s="38">
        <v>84.0</v>
      </c>
      <c r="Y12" s="39"/>
      <c r="Z12" s="32">
        <f t="shared" si="6"/>
        <v>33.6</v>
      </c>
      <c r="AA12" s="39"/>
      <c r="AB12" s="38">
        <v>75.0</v>
      </c>
      <c r="AC12" s="39"/>
      <c r="AD12" s="32">
        <f t="shared" si="7"/>
        <v>30</v>
      </c>
      <c r="AE12" s="39"/>
      <c r="AF12" s="39"/>
      <c r="AG12" s="39"/>
      <c r="AH12" s="32" t="str">
        <f t="shared" si="8"/>
        <v/>
      </c>
      <c r="AI12" s="33">
        <f t="shared" si="9"/>
        <v>279.2</v>
      </c>
      <c r="AJ12" s="33">
        <f t="shared" si="10"/>
        <v>39.9</v>
      </c>
      <c r="AK12" s="34">
        <f t="shared" si="11"/>
        <v>13</v>
      </c>
      <c r="AL12" s="35" t="str">
        <f t="shared" si="12"/>
        <v>D (Kurang)</v>
      </c>
    </row>
    <row r="13" ht="25.5" customHeight="1">
      <c r="A13" s="28">
        <v>7.0</v>
      </c>
      <c r="B13" s="29" t="s">
        <v>30</v>
      </c>
      <c r="C13" s="30">
        <v>95.0</v>
      </c>
      <c r="D13" s="30">
        <v>100.0</v>
      </c>
      <c r="E13" s="31"/>
      <c r="F13" s="32">
        <f t="shared" si="1"/>
        <v>78</v>
      </c>
      <c r="G13" s="31"/>
      <c r="H13" s="30">
        <v>85.0</v>
      </c>
      <c r="I13" s="31"/>
      <c r="J13" s="32">
        <f t="shared" si="2"/>
        <v>34</v>
      </c>
      <c r="K13" s="31"/>
      <c r="L13" s="30">
        <v>90.0</v>
      </c>
      <c r="M13" s="31"/>
      <c r="N13" s="32">
        <f t="shared" si="3"/>
        <v>36</v>
      </c>
      <c r="O13" s="31"/>
      <c r="P13" s="30">
        <v>86.0</v>
      </c>
      <c r="Q13" s="31"/>
      <c r="R13" s="32">
        <f t="shared" si="4"/>
        <v>34.4</v>
      </c>
      <c r="S13" s="30">
        <v>70.0</v>
      </c>
      <c r="T13" s="30">
        <v>75.0</v>
      </c>
      <c r="U13" s="31"/>
      <c r="V13" s="32">
        <f t="shared" si="5"/>
        <v>58</v>
      </c>
      <c r="W13" s="31"/>
      <c r="X13" s="30">
        <v>85.0</v>
      </c>
      <c r="Y13" s="31"/>
      <c r="Z13" s="32">
        <f t="shared" si="6"/>
        <v>34</v>
      </c>
      <c r="AA13" s="31"/>
      <c r="AB13" s="30">
        <v>80.0</v>
      </c>
      <c r="AC13" s="31"/>
      <c r="AD13" s="32">
        <f t="shared" si="7"/>
        <v>32</v>
      </c>
      <c r="AE13" s="31"/>
      <c r="AF13" s="31"/>
      <c r="AG13" s="31"/>
      <c r="AH13" s="32" t="str">
        <f t="shared" si="8"/>
        <v/>
      </c>
      <c r="AI13" s="33">
        <f t="shared" si="9"/>
        <v>306.4</v>
      </c>
      <c r="AJ13" s="33">
        <f t="shared" si="10"/>
        <v>43.8</v>
      </c>
      <c r="AK13" s="34">
        <f t="shared" si="11"/>
        <v>2</v>
      </c>
      <c r="AL13" s="35" t="str">
        <f t="shared" si="12"/>
        <v>D (Kurang)</v>
      </c>
    </row>
    <row r="14" ht="25.5" customHeight="1">
      <c r="A14" s="36">
        <v>8.0</v>
      </c>
      <c r="B14" s="37" t="s">
        <v>31</v>
      </c>
      <c r="C14" s="38">
        <v>90.0</v>
      </c>
      <c r="D14" s="38">
        <v>30.0</v>
      </c>
      <c r="E14" s="39"/>
      <c r="F14" s="32">
        <f t="shared" si="1"/>
        <v>48</v>
      </c>
      <c r="G14" s="39"/>
      <c r="H14" s="38">
        <v>80.0</v>
      </c>
      <c r="I14" s="39"/>
      <c r="J14" s="32">
        <f t="shared" si="2"/>
        <v>32</v>
      </c>
      <c r="K14" s="39"/>
      <c r="L14" s="38">
        <v>90.0</v>
      </c>
      <c r="M14" s="39"/>
      <c r="N14" s="32">
        <f t="shared" si="3"/>
        <v>36</v>
      </c>
      <c r="O14" s="39"/>
      <c r="P14" s="38">
        <v>76.0</v>
      </c>
      <c r="Q14" s="39"/>
      <c r="R14" s="32">
        <f t="shared" si="4"/>
        <v>30.4</v>
      </c>
      <c r="S14" s="38">
        <v>80.0</v>
      </c>
      <c r="T14" s="38">
        <v>80.0</v>
      </c>
      <c r="U14" s="39"/>
      <c r="V14" s="32">
        <f t="shared" si="5"/>
        <v>64</v>
      </c>
      <c r="W14" s="39"/>
      <c r="X14" s="38">
        <v>85.0</v>
      </c>
      <c r="Y14" s="39"/>
      <c r="Z14" s="32">
        <f t="shared" si="6"/>
        <v>34</v>
      </c>
      <c r="AA14" s="39"/>
      <c r="AB14" s="38">
        <v>95.0</v>
      </c>
      <c r="AC14" s="39"/>
      <c r="AD14" s="32">
        <f t="shared" si="7"/>
        <v>38</v>
      </c>
      <c r="AE14" s="39"/>
      <c r="AF14" s="39"/>
      <c r="AG14" s="39"/>
      <c r="AH14" s="32" t="str">
        <f t="shared" si="8"/>
        <v/>
      </c>
      <c r="AI14" s="33">
        <f t="shared" si="9"/>
        <v>282.4</v>
      </c>
      <c r="AJ14" s="33">
        <f t="shared" si="10"/>
        <v>40.3</v>
      </c>
      <c r="AK14" s="34">
        <f t="shared" si="11"/>
        <v>11</v>
      </c>
      <c r="AL14" s="35" t="str">
        <f t="shared" si="12"/>
        <v>D (Kurang)</v>
      </c>
    </row>
    <row r="15" ht="25.5" customHeight="1">
      <c r="A15" s="28">
        <v>9.0</v>
      </c>
      <c r="B15" s="29" t="s">
        <v>32</v>
      </c>
      <c r="C15" s="30">
        <v>95.0</v>
      </c>
      <c r="D15" s="30">
        <v>67.0</v>
      </c>
      <c r="E15" s="31"/>
      <c r="F15" s="32">
        <f t="shared" si="1"/>
        <v>64.8</v>
      </c>
      <c r="G15" s="31"/>
      <c r="H15" s="30">
        <v>85.0</v>
      </c>
      <c r="I15" s="31"/>
      <c r="J15" s="32">
        <f t="shared" si="2"/>
        <v>34</v>
      </c>
      <c r="K15" s="31"/>
      <c r="L15" s="30">
        <v>80.0</v>
      </c>
      <c r="M15" s="31"/>
      <c r="N15" s="32">
        <f t="shared" si="3"/>
        <v>32</v>
      </c>
      <c r="O15" s="31"/>
      <c r="P15" s="30">
        <v>96.0</v>
      </c>
      <c r="Q15" s="31"/>
      <c r="R15" s="32">
        <f t="shared" si="4"/>
        <v>38.4</v>
      </c>
      <c r="S15" s="30">
        <v>88.0</v>
      </c>
      <c r="T15" s="30">
        <v>95.0</v>
      </c>
      <c r="U15" s="31"/>
      <c r="V15" s="32">
        <f t="shared" si="5"/>
        <v>73.2</v>
      </c>
      <c r="W15" s="31"/>
      <c r="X15" s="30">
        <v>85.0</v>
      </c>
      <c r="Y15" s="31"/>
      <c r="Z15" s="32">
        <f t="shared" si="6"/>
        <v>34</v>
      </c>
      <c r="AA15" s="31"/>
      <c r="AB15" s="30">
        <v>89.0</v>
      </c>
      <c r="AC15" s="31"/>
      <c r="AD15" s="32">
        <f t="shared" si="7"/>
        <v>35.6</v>
      </c>
      <c r="AE15" s="31"/>
      <c r="AF15" s="31"/>
      <c r="AG15" s="31"/>
      <c r="AH15" s="32" t="str">
        <f t="shared" si="8"/>
        <v/>
      </c>
      <c r="AI15" s="33">
        <f t="shared" si="9"/>
        <v>312</v>
      </c>
      <c r="AJ15" s="33">
        <f t="shared" si="10"/>
        <v>44.6</v>
      </c>
      <c r="AK15" s="34">
        <f t="shared" si="11"/>
        <v>1</v>
      </c>
      <c r="AL15" s="35" t="str">
        <f t="shared" si="12"/>
        <v>D (Kurang)</v>
      </c>
    </row>
    <row r="16" ht="25.5" customHeight="1">
      <c r="A16" s="36">
        <v>10.0</v>
      </c>
      <c r="B16" s="37" t="s">
        <v>33</v>
      </c>
      <c r="C16" s="38">
        <v>90.0</v>
      </c>
      <c r="D16" s="38">
        <v>100.0</v>
      </c>
      <c r="E16" s="39"/>
      <c r="F16" s="32">
        <f t="shared" si="1"/>
        <v>76</v>
      </c>
      <c r="G16" s="39"/>
      <c r="H16" s="38">
        <v>80.0</v>
      </c>
      <c r="I16" s="39"/>
      <c r="J16" s="32">
        <f t="shared" si="2"/>
        <v>32</v>
      </c>
      <c r="K16" s="39"/>
      <c r="L16" s="38">
        <v>60.0</v>
      </c>
      <c r="M16" s="39"/>
      <c r="N16" s="32">
        <f t="shared" si="3"/>
        <v>24</v>
      </c>
      <c r="O16" s="39"/>
      <c r="P16" s="38">
        <v>72.0</v>
      </c>
      <c r="Q16" s="39"/>
      <c r="R16" s="32">
        <f t="shared" si="4"/>
        <v>28.8</v>
      </c>
      <c r="S16" s="38">
        <v>75.0</v>
      </c>
      <c r="T16" s="38">
        <v>78.0</v>
      </c>
      <c r="U16" s="39"/>
      <c r="V16" s="32">
        <f t="shared" si="5"/>
        <v>61.2</v>
      </c>
      <c r="W16" s="39"/>
      <c r="X16" s="38">
        <v>80.0</v>
      </c>
      <c r="Y16" s="39"/>
      <c r="Z16" s="32">
        <f t="shared" si="6"/>
        <v>32</v>
      </c>
      <c r="AA16" s="39"/>
      <c r="AB16" s="38">
        <v>98.0</v>
      </c>
      <c r="AC16" s="39"/>
      <c r="AD16" s="32">
        <f t="shared" si="7"/>
        <v>39.2</v>
      </c>
      <c r="AE16" s="39"/>
      <c r="AF16" s="39"/>
      <c r="AG16" s="39"/>
      <c r="AH16" s="32" t="str">
        <f t="shared" si="8"/>
        <v/>
      </c>
      <c r="AI16" s="33">
        <f t="shared" si="9"/>
        <v>293.2</v>
      </c>
      <c r="AJ16" s="33">
        <f t="shared" si="10"/>
        <v>41.9</v>
      </c>
      <c r="AK16" s="34">
        <f t="shared" si="11"/>
        <v>5</v>
      </c>
      <c r="AL16" s="35" t="str">
        <f t="shared" si="12"/>
        <v>D (Kurang)</v>
      </c>
    </row>
    <row r="17" ht="25.5" customHeight="1">
      <c r="A17" s="28">
        <v>11.0</v>
      </c>
      <c r="B17" s="29" t="s">
        <v>34</v>
      </c>
      <c r="C17" s="30">
        <v>85.0</v>
      </c>
      <c r="D17" s="30">
        <v>33.0</v>
      </c>
      <c r="E17" s="31"/>
      <c r="F17" s="32">
        <f t="shared" si="1"/>
        <v>47.2</v>
      </c>
      <c r="G17" s="31"/>
      <c r="H17" s="30">
        <v>85.0</v>
      </c>
      <c r="I17" s="31"/>
      <c r="J17" s="32">
        <f t="shared" si="2"/>
        <v>34</v>
      </c>
      <c r="K17" s="31"/>
      <c r="L17" s="30">
        <v>50.0</v>
      </c>
      <c r="M17" s="31"/>
      <c r="N17" s="32">
        <f t="shared" si="3"/>
        <v>20</v>
      </c>
      <c r="O17" s="31"/>
      <c r="P17" s="30">
        <v>76.0</v>
      </c>
      <c r="Q17" s="31"/>
      <c r="R17" s="32">
        <f t="shared" si="4"/>
        <v>30.4</v>
      </c>
      <c r="S17" s="30">
        <v>70.0</v>
      </c>
      <c r="T17" s="30">
        <v>75.0</v>
      </c>
      <c r="U17" s="31"/>
      <c r="V17" s="32">
        <f t="shared" si="5"/>
        <v>58</v>
      </c>
      <c r="W17" s="31"/>
      <c r="X17" s="30">
        <v>85.0</v>
      </c>
      <c r="Y17" s="31"/>
      <c r="Z17" s="32">
        <f t="shared" si="6"/>
        <v>34</v>
      </c>
      <c r="AA17" s="31"/>
      <c r="AB17" s="30">
        <v>90.0</v>
      </c>
      <c r="AC17" s="31"/>
      <c r="AD17" s="32">
        <f t="shared" si="7"/>
        <v>36</v>
      </c>
      <c r="AE17" s="31"/>
      <c r="AF17" s="31"/>
      <c r="AG17" s="31"/>
      <c r="AH17" s="32" t="str">
        <f t="shared" si="8"/>
        <v/>
      </c>
      <c r="AI17" s="33">
        <f t="shared" si="9"/>
        <v>259.6</v>
      </c>
      <c r="AJ17" s="33">
        <f t="shared" si="10"/>
        <v>37.1</v>
      </c>
      <c r="AK17" s="34">
        <f t="shared" si="11"/>
        <v>18</v>
      </c>
      <c r="AL17" s="35" t="str">
        <f t="shared" si="12"/>
        <v>D (Kurang)</v>
      </c>
    </row>
    <row r="18" ht="25.5" customHeight="1">
      <c r="A18" s="36">
        <v>12.0</v>
      </c>
      <c r="B18" s="37" t="s">
        <v>35</v>
      </c>
      <c r="C18" s="38">
        <v>95.0</v>
      </c>
      <c r="D18" s="38">
        <v>100.0</v>
      </c>
      <c r="E18" s="39"/>
      <c r="F18" s="32">
        <f t="shared" si="1"/>
        <v>78</v>
      </c>
      <c r="G18" s="39"/>
      <c r="H18" s="38">
        <v>85.0</v>
      </c>
      <c r="I18" s="39"/>
      <c r="J18" s="32">
        <f t="shared" si="2"/>
        <v>34</v>
      </c>
      <c r="K18" s="39"/>
      <c r="L18" s="38">
        <v>80.0</v>
      </c>
      <c r="M18" s="39"/>
      <c r="N18" s="32">
        <f t="shared" si="3"/>
        <v>32</v>
      </c>
      <c r="O18" s="39"/>
      <c r="P18" s="38">
        <v>73.0</v>
      </c>
      <c r="Q18" s="39"/>
      <c r="R18" s="32">
        <f t="shared" si="4"/>
        <v>29.2</v>
      </c>
      <c r="S18" s="38">
        <v>74.0</v>
      </c>
      <c r="T18" s="38">
        <v>76.0</v>
      </c>
      <c r="U18" s="39"/>
      <c r="V18" s="32">
        <f t="shared" si="5"/>
        <v>60</v>
      </c>
      <c r="W18" s="39"/>
      <c r="X18" s="38">
        <v>85.0</v>
      </c>
      <c r="Y18" s="39"/>
      <c r="Z18" s="32">
        <f t="shared" si="6"/>
        <v>34</v>
      </c>
      <c r="AA18" s="39"/>
      <c r="AB18" s="38">
        <v>98.0</v>
      </c>
      <c r="AC18" s="39"/>
      <c r="AD18" s="32">
        <f t="shared" si="7"/>
        <v>39.2</v>
      </c>
      <c r="AE18" s="39"/>
      <c r="AF18" s="39"/>
      <c r="AG18" s="39"/>
      <c r="AH18" s="32" t="str">
        <f t="shared" si="8"/>
        <v/>
      </c>
      <c r="AI18" s="33">
        <f t="shared" si="9"/>
        <v>306.4</v>
      </c>
      <c r="AJ18" s="33">
        <f t="shared" si="10"/>
        <v>43.8</v>
      </c>
      <c r="AK18" s="34">
        <f t="shared" si="11"/>
        <v>2</v>
      </c>
      <c r="AL18" s="35" t="str">
        <f t="shared" si="12"/>
        <v>D (Kurang)</v>
      </c>
    </row>
    <row r="19" ht="25.5" customHeight="1">
      <c r="A19" s="28">
        <v>13.0</v>
      </c>
      <c r="B19" s="29" t="s">
        <v>36</v>
      </c>
      <c r="C19" s="30">
        <v>85.0</v>
      </c>
      <c r="D19" s="30">
        <v>67.0</v>
      </c>
      <c r="E19" s="31"/>
      <c r="F19" s="32">
        <f t="shared" si="1"/>
        <v>60.8</v>
      </c>
      <c r="G19" s="31"/>
      <c r="H19" s="30">
        <v>87.0</v>
      </c>
      <c r="I19" s="31"/>
      <c r="J19" s="32">
        <f t="shared" si="2"/>
        <v>34.8</v>
      </c>
      <c r="K19" s="31"/>
      <c r="L19" s="30">
        <v>50.0</v>
      </c>
      <c r="M19" s="31"/>
      <c r="N19" s="32">
        <f t="shared" si="3"/>
        <v>20</v>
      </c>
      <c r="O19" s="31"/>
      <c r="P19" s="30">
        <v>71.0</v>
      </c>
      <c r="Q19" s="31"/>
      <c r="R19" s="32">
        <f t="shared" si="4"/>
        <v>28.4</v>
      </c>
      <c r="S19" s="30">
        <v>78.0</v>
      </c>
      <c r="T19" s="30">
        <v>85.0</v>
      </c>
      <c r="U19" s="31"/>
      <c r="V19" s="32">
        <f t="shared" si="5"/>
        <v>65.2</v>
      </c>
      <c r="W19" s="31"/>
      <c r="X19" s="30">
        <v>84.0</v>
      </c>
      <c r="Y19" s="31"/>
      <c r="Z19" s="32">
        <f t="shared" si="6"/>
        <v>33.6</v>
      </c>
      <c r="AA19" s="31"/>
      <c r="AB19" s="30">
        <v>98.0</v>
      </c>
      <c r="AC19" s="31"/>
      <c r="AD19" s="32">
        <f t="shared" si="7"/>
        <v>39.2</v>
      </c>
      <c r="AE19" s="31"/>
      <c r="AF19" s="31"/>
      <c r="AG19" s="31"/>
      <c r="AH19" s="32" t="str">
        <f t="shared" si="8"/>
        <v/>
      </c>
      <c r="AI19" s="33">
        <f t="shared" si="9"/>
        <v>282</v>
      </c>
      <c r="AJ19" s="33">
        <f t="shared" si="10"/>
        <v>40.3</v>
      </c>
      <c r="AK19" s="34">
        <f t="shared" si="11"/>
        <v>11</v>
      </c>
      <c r="AL19" s="35" t="str">
        <f t="shared" si="12"/>
        <v>D (Kurang)</v>
      </c>
    </row>
    <row r="20" ht="25.5" customHeight="1">
      <c r="A20" s="36">
        <v>14.0</v>
      </c>
      <c r="B20" s="37" t="s">
        <v>37</v>
      </c>
      <c r="C20" s="38">
        <v>85.0</v>
      </c>
      <c r="D20" s="38">
        <v>50.0</v>
      </c>
      <c r="E20" s="39"/>
      <c r="F20" s="32">
        <f t="shared" si="1"/>
        <v>54</v>
      </c>
      <c r="G20" s="39"/>
      <c r="H20" s="38">
        <v>75.0</v>
      </c>
      <c r="I20" s="39"/>
      <c r="J20" s="32">
        <f t="shared" si="2"/>
        <v>30</v>
      </c>
      <c r="K20" s="39"/>
      <c r="L20" s="38">
        <v>20.0</v>
      </c>
      <c r="M20" s="39"/>
      <c r="N20" s="32">
        <f t="shared" si="3"/>
        <v>8</v>
      </c>
      <c r="O20" s="39"/>
      <c r="P20" s="38">
        <v>79.0</v>
      </c>
      <c r="Q20" s="39"/>
      <c r="R20" s="32">
        <f t="shared" si="4"/>
        <v>31.6</v>
      </c>
      <c r="S20" s="38">
        <v>79.0</v>
      </c>
      <c r="T20" s="38">
        <v>84.0</v>
      </c>
      <c r="U20" s="39"/>
      <c r="V20" s="32">
        <f t="shared" si="5"/>
        <v>65.2</v>
      </c>
      <c r="W20" s="39"/>
      <c r="X20" s="38">
        <v>83.0</v>
      </c>
      <c r="Y20" s="39"/>
      <c r="Z20" s="32">
        <f t="shared" si="6"/>
        <v>33.2</v>
      </c>
      <c r="AA20" s="39"/>
      <c r="AB20" s="38">
        <v>90.0</v>
      </c>
      <c r="AC20" s="39"/>
      <c r="AD20" s="32">
        <f t="shared" si="7"/>
        <v>36</v>
      </c>
      <c r="AE20" s="39"/>
      <c r="AF20" s="39"/>
      <c r="AG20" s="39"/>
      <c r="AH20" s="32" t="str">
        <f t="shared" si="8"/>
        <v/>
      </c>
      <c r="AI20" s="33">
        <f t="shared" si="9"/>
        <v>258</v>
      </c>
      <c r="AJ20" s="33">
        <f t="shared" si="10"/>
        <v>36.9</v>
      </c>
      <c r="AK20" s="34">
        <f t="shared" si="11"/>
        <v>19</v>
      </c>
      <c r="AL20" s="35" t="str">
        <f t="shared" si="12"/>
        <v>D (Kurang)</v>
      </c>
    </row>
    <row r="21" ht="25.5" customHeight="1">
      <c r="A21" s="28">
        <v>15.0</v>
      </c>
      <c r="B21" s="29" t="s">
        <v>38</v>
      </c>
      <c r="C21" s="30">
        <v>85.0</v>
      </c>
      <c r="D21" s="30">
        <v>84.0</v>
      </c>
      <c r="E21" s="31"/>
      <c r="F21" s="32">
        <f t="shared" si="1"/>
        <v>67.6</v>
      </c>
      <c r="G21" s="31"/>
      <c r="H21" s="30">
        <v>85.0</v>
      </c>
      <c r="I21" s="31"/>
      <c r="J21" s="32">
        <f t="shared" si="2"/>
        <v>34</v>
      </c>
      <c r="K21" s="31"/>
      <c r="L21" s="30">
        <v>60.0</v>
      </c>
      <c r="M21" s="31"/>
      <c r="N21" s="32">
        <f t="shared" si="3"/>
        <v>24</v>
      </c>
      <c r="O21" s="31"/>
      <c r="P21" s="30">
        <v>71.0</v>
      </c>
      <c r="Q21" s="31"/>
      <c r="R21" s="32">
        <f t="shared" si="4"/>
        <v>28.4</v>
      </c>
      <c r="S21" s="30">
        <v>75.0</v>
      </c>
      <c r="T21" s="30">
        <v>75.0</v>
      </c>
      <c r="U21" s="31"/>
      <c r="V21" s="32">
        <f t="shared" si="5"/>
        <v>60</v>
      </c>
      <c r="W21" s="31"/>
      <c r="X21" s="30">
        <v>80.0</v>
      </c>
      <c r="Y21" s="31"/>
      <c r="Z21" s="32">
        <f t="shared" si="6"/>
        <v>32</v>
      </c>
      <c r="AA21" s="31"/>
      <c r="AB21" s="30">
        <v>98.0</v>
      </c>
      <c r="AC21" s="31"/>
      <c r="AD21" s="32">
        <f t="shared" si="7"/>
        <v>39.2</v>
      </c>
      <c r="AE21" s="31"/>
      <c r="AF21" s="31"/>
      <c r="AG21" s="31"/>
      <c r="AH21" s="32" t="str">
        <f t="shared" si="8"/>
        <v/>
      </c>
      <c r="AI21" s="33">
        <f t="shared" si="9"/>
        <v>285.2</v>
      </c>
      <c r="AJ21" s="33">
        <f t="shared" si="10"/>
        <v>40.7</v>
      </c>
      <c r="AK21" s="34">
        <f t="shared" si="11"/>
        <v>10</v>
      </c>
      <c r="AL21" s="35" t="str">
        <f t="shared" si="12"/>
        <v>D (Kurang)</v>
      </c>
    </row>
    <row r="22" ht="25.5" customHeight="1">
      <c r="A22" s="36">
        <v>16.0</v>
      </c>
      <c r="B22" s="37" t="s">
        <v>39</v>
      </c>
      <c r="C22" s="38">
        <v>85.0</v>
      </c>
      <c r="D22" s="38">
        <v>50.0</v>
      </c>
      <c r="E22" s="39"/>
      <c r="F22" s="32">
        <f t="shared" si="1"/>
        <v>54</v>
      </c>
      <c r="G22" s="39"/>
      <c r="H22" s="38">
        <v>85.0</v>
      </c>
      <c r="I22" s="39"/>
      <c r="J22" s="32">
        <f t="shared" si="2"/>
        <v>34</v>
      </c>
      <c r="K22" s="39"/>
      <c r="L22" s="38">
        <v>60.0</v>
      </c>
      <c r="M22" s="39"/>
      <c r="N22" s="32">
        <f t="shared" si="3"/>
        <v>24</v>
      </c>
      <c r="O22" s="39"/>
      <c r="P22" s="38">
        <v>92.0</v>
      </c>
      <c r="Q22" s="39"/>
      <c r="R22" s="32">
        <f t="shared" si="4"/>
        <v>36.8</v>
      </c>
      <c r="S22" s="38">
        <v>78.0</v>
      </c>
      <c r="T22" s="38">
        <v>86.0</v>
      </c>
      <c r="U22" s="39"/>
      <c r="V22" s="32">
        <f t="shared" si="5"/>
        <v>65.6</v>
      </c>
      <c r="W22" s="39"/>
      <c r="X22" s="38">
        <v>82.0</v>
      </c>
      <c r="Y22" s="39"/>
      <c r="Z22" s="32">
        <f t="shared" si="6"/>
        <v>32.8</v>
      </c>
      <c r="AA22" s="39"/>
      <c r="AB22" s="38">
        <v>98.0</v>
      </c>
      <c r="AC22" s="39"/>
      <c r="AD22" s="32">
        <f t="shared" si="7"/>
        <v>39.2</v>
      </c>
      <c r="AE22" s="39"/>
      <c r="AF22" s="39"/>
      <c r="AG22" s="39"/>
      <c r="AH22" s="32" t="str">
        <f t="shared" si="8"/>
        <v/>
      </c>
      <c r="AI22" s="33">
        <f t="shared" si="9"/>
        <v>286.4</v>
      </c>
      <c r="AJ22" s="33">
        <f t="shared" si="10"/>
        <v>40.9</v>
      </c>
      <c r="AK22" s="34">
        <f t="shared" si="11"/>
        <v>9</v>
      </c>
      <c r="AL22" s="35" t="str">
        <f t="shared" si="12"/>
        <v>D (Kurang)</v>
      </c>
    </row>
    <row r="23" ht="25.5" customHeight="1">
      <c r="A23" s="28">
        <v>17.0</v>
      </c>
      <c r="B23" s="29" t="s">
        <v>40</v>
      </c>
      <c r="C23" s="30">
        <v>95.0</v>
      </c>
      <c r="D23" s="30">
        <v>100.0</v>
      </c>
      <c r="E23" s="31"/>
      <c r="F23" s="32">
        <f t="shared" si="1"/>
        <v>78</v>
      </c>
      <c r="G23" s="31"/>
      <c r="H23" s="30">
        <v>95.0</v>
      </c>
      <c r="I23" s="31"/>
      <c r="J23" s="32">
        <f t="shared" si="2"/>
        <v>38</v>
      </c>
      <c r="K23" s="31"/>
      <c r="L23" s="30">
        <v>60.0</v>
      </c>
      <c r="M23" s="31"/>
      <c r="N23" s="32">
        <f t="shared" si="3"/>
        <v>24</v>
      </c>
      <c r="O23" s="31"/>
      <c r="P23" s="30">
        <v>73.0</v>
      </c>
      <c r="Q23" s="31"/>
      <c r="R23" s="32">
        <f t="shared" si="4"/>
        <v>29.2</v>
      </c>
      <c r="S23" s="30">
        <v>78.0</v>
      </c>
      <c r="T23" s="30">
        <v>85.0</v>
      </c>
      <c r="U23" s="31"/>
      <c r="V23" s="32">
        <f t="shared" si="5"/>
        <v>65.2</v>
      </c>
      <c r="W23" s="31"/>
      <c r="X23" s="30">
        <v>85.0</v>
      </c>
      <c r="Y23" s="31"/>
      <c r="Z23" s="32">
        <f t="shared" si="6"/>
        <v>34</v>
      </c>
      <c r="AA23" s="31"/>
      <c r="AB23" s="30">
        <v>95.0</v>
      </c>
      <c r="AC23" s="31"/>
      <c r="AD23" s="32">
        <f t="shared" si="7"/>
        <v>38</v>
      </c>
      <c r="AE23" s="31"/>
      <c r="AF23" s="31"/>
      <c r="AG23" s="31"/>
      <c r="AH23" s="32" t="str">
        <f t="shared" si="8"/>
        <v/>
      </c>
      <c r="AI23" s="33">
        <f t="shared" si="9"/>
        <v>306.4</v>
      </c>
      <c r="AJ23" s="33">
        <f t="shared" si="10"/>
        <v>43.8</v>
      </c>
      <c r="AK23" s="34">
        <f t="shared" si="11"/>
        <v>2</v>
      </c>
      <c r="AL23" s="35" t="str">
        <f t="shared" si="12"/>
        <v>D (Kurang)</v>
      </c>
    </row>
    <row r="24" ht="25.5" customHeight="1">
      <c r="A24" s="36">
        <v>18.0</v>
      </c>
      <c r="B24" s="37" t="s">
        <v>41</v>
      </c>
      <c r="C24" s="38">
        <v>85.0</v>
      </c>
      <c r="D24" s="38">
        <v>84.0</v>
      </c>
      <c r="E24" s="39"/>
      <c r="F24" s="32">
        <f t="shared" si="1"/>
        <v>67.6</v>
      </c>
      <c r="G24" s="39"/>
      <c r="H24" s="38">
        <v>85.0</v>
      </c>
      <c r="I24" s="39"/>
      <c r="J24" s="32">
        <f t="shared" si="2"/>
        <v>34</v>
      </c>
      <c r="K24" s="39"/>
      <c r="L24" s="38">
        <v>90.0</v>
      </c>
      <c r="M24" s="39"/>
      <c r="N24" s="32">
        <f t="shared" si="3"/>
        <v>36</v>
      </c>
      <c r="O24" s="39"/>
      <c r="P24" s="38">
        <v>66.0</v>
      </c>
      <c r="Q24" s="39"/>
      <c r="R24" s="32">
        <f t="shared" si="4"/>
        <v>26.4</v>
      </c>
      <c r="S24" s="38">
        <v>75.0</v>
      </c>
      <c r="T24" s="38">
        <v>75.0</v>
      </c>
      <c r="U24" s="39"/>
      <c r="V24" s="32">
        <f t="shared" si="5"/>
        <v>60</v>
      </c>
      <c r="W24" s="39"/>
      <c r="X24" s="38">
        <v>85.0</v>
      </c>
      <c r="Y24" s="39"/>
      <c r="Z24" s="32">
        <f t="shared" si="6"/>
        <v>34</v>
      </c>
      <c r="AA24" s="39"/>
      <c r="AB24" s="38">
        <v>75.0</v>
      </c>
      <c r="AC24" s="39"/>
      <c r="AD24" s="32">
        <f t="shared" si="7"/>
        <v>30</v>
      </c>
      <c r="AE24" s="39"/>
      <c r="AF24" s="39"/>
      <c r="AG24" s="39"/>
      <c r="AH24" s="32" t="str">
        <f t="shared" si="8"/>
        <v/>
      </c>
      <c r="AI24" s="33">
        <f t="shared" si="9"/>
        <v>288</v>
      </c>
      <c r="AJ24" s="33">
        <f t="shared" si="10"/>
        <v>41.1</v>
      </c>
      <c r="AK24" s="34">
        <f t="shared" si="11"/>
        <v>7</v>
      </c>
      <c r="AL24" s="35" t="str">
        <f t="shared" si="12"/>
        <v>D (Kurang)</v>
      </c>
    </row>
    <row r="25" ht="25.5" customHeight="1">
      <c r="A25" s="28">
        <v>19.0</v>
      </c>
      <c r="B25" s="29" t="s">
        <v>42</v>
      </c>
      <c r="C25" s="30">
        <v>85.0</v>
      </c>
      <c r="D25" s="30">
        <v>50.0</v>
      </c>
      <c r="E25" s="31"/>
      <c r="F25" s="32">
        <f t="shared" si="1"/>
        <v>54</v>
      </c>
      <c r="G25" s="31"/>
      <c r="H25" s="30">
        <v>85.0</v>
      </c>
      <c r="I25" s="31"/>
      <c r="J25" s="32">
        <f t="shared" si="2"/>
        <v>34</v>
      </c>
      <c r="K25" s="31"/>
      <c r="L25" s="30">
        <v>70.0</v>
      </c>
      <c r="M25" s="31"/>
      <c r="N25" s="32">
        <f t="shared" si="3"/>
        <v>28</v>
      </c>
      <c r="O25" s="31"/>
      <c r="P25" s="30">
        <v>73.0</v>
      </c>
      <c r="Q25" s="31"/>
      <c r="R25" s="32">
        <f t="shared" si="4"/>
        <v>29.2</v>
      </c>
      <c r="S25" s="30">
        <v>77.0</v>
      </c>
      <c r="T25" s="30">
        <v>86.0</v>
      </c>
      <c r="U25" s="31"/>
      <c r="V25" s="32">
        <f t="shared" si="5"/>
        <v>65.2</v>
      </c>
      <c r="W25" s="31"/>
      <c r="X25" s="30">
        <v>85.0</v>
      </c>
      <c r="Y25" s="31"/>
      <c r="Z25" s="32">
        <f t="shared" si="6"/>
        <v>34</v>
      </c>
      <c r="AA25" s="31"/>
      <c r="AB25" s="30">
        <v>75.0</v>
      </c>
      <c r="AC25" s="31"/>
      <c r="AD25" s="32">
        <f t="shared" si="7"/>
        <v>30</v>
      </c>
      <c r="AE25" s="31"/>
      <c r="AF25" s="31"/>
      <c r="AG25" s="31"/>
      <c r="AH25" s="32" t="str">
        <f t="shared" si="8"/>
        <v/>
      </c>
      <c r="AI25" s="33">
        <f t="shared" si="9"/>
        <v>274.4</v>
      </c>
      <c r="AJ25" s="33">
        <f t="shared" si="10"/>
        <v>39.2</v>
      </c>
      <c r="AK25" s="34">
        <f t="shared" si="11"/>
        <v>15</v>
      </c>
      <c r="AL25" s="35" t="str">
        <f t="shared" si="12"/>
        <v>D (Kurang)</v>
      </c>
    </row>
    <row r="26" ht="25.5" customHeight="1">
      <c r="A26" s="36">
        <v>20.0</v>
      </c>
      <c r="B26" s="37" t="s">
        <v>43</v>
      </c>
      <c r="C26" s="38">
        <v>90.0</v>
      </c>
      <c r="D26" s="38">
        <v>40.0</v>
      </c>
      <c r="E26" s="39"/>
      <c r="F26" s="32">
        <f t="shared" si="1"/>
        <v>52</v>
      </c>
      <c r="G26" s="39"/>
      <c r="H26" s="38">
        <v>90.0</v>
      </c>
      <c r="I26" s="39"/>
      <c r="J26" s="32">
        <f t="shared" si="2"/>
        <v>36</v>
      </c>
      <c r="K26" s="39"/>
      <c r="L26" s="38">
        <v>90.0</v>
      </c>
      <c r="M26" s="39"/>
      <c r="N26" s="32">
        <f t="shared" si="3"/>
        <v>36</v>
      </c>
      <c r="O26" s="39"/>
      <c r="P26" s="38">
        <v>86.0</v>
      </c>
      <c r="Q26" s="39"/>
      <c r="R26" s="32">
        <f t="shared" si="4"/>
        <v>34.4</v>
      </c>
      <c r="S26" s="38">
        <v>75.0</v>
      </c>
      <c r="T26" s="38">
        <v>80.0</v>
      </c>
      <c r="U26" s="39"/>
      <c r="V26" s="32">
        <f t="shared" si="5"/>
        <v>62</v>
      </c>
      <c r="W26" s="39"/>
      <c r="X26" s="38">
        <v>85.0</v>
      </c>
      <c r="Y26" s="39"/>
      <c r="Z26" s="32">
        <f t="shared" si="6"/>
        <v>34</v>
      </c>
      <c r="AA26" s="39"/>
      <c r="AB26" s="38">
        <v>85.0</v>
      </c>
      <c r="AC26" s="39"/>
      <c r="AD26" s="32">
        <f t="shared" si="7"/>
        <v>34</v>
      </c>
      <c r="AE26" s="39"/>
      <c r="AF26" s="39"/>
      <c r="AG26" s="39"/>
      <c r="AH26" s="32" t="str">
        <f t="shared" si="8"/>
        <v/>
      </c>
      <c r="AI26" s="33">
        <f t="shared" si="9"/>
        <v>288.4</v>
      </c>
      <c r="AJ26" s="33">
        <f t="shared" si="10"/>
        <v>41.2</v>
      </c>
      <c r="AK26" s="34">
        <f t="shared" si="11"/>
        <v>6</v>
      </c>
      <c r="AL26" s="35" t="str">
        <f t="shared" si="12"/>
        <v>D (Kurang)</v>
      </c>
    </row>
    <row r="27" ht="21.75" customHeight="1">
      <c r="A27" s="40" t="s">
        <v>44</v>
      </c>
      <c r="B27" s="41"/>
      <c r="C27" s="42">
        <f t="shared" ref="C27:AJ27" si="13">IFERROR(ROUND(AVERAGE(C7:C26), 1), "")</f>
        <v>89</v>
      </c>
      <c r="D27" s="42">
        <f t="shared" si="13"/>
        <v>64</v>
      </c>
      <c r="E27" s="42" t="str">
        <f t="shared" si="13"/>
        <v/>
      </c>
      <c r="F27" s="43">
        <f t="shared" si="13"/>
        <v>61.2</v>
      </c>
      <c r="G27" s="42" t="str">
        <f t="shared" si="13"/>
        <v/>
      </c>
      <c r="H27" s="42">
        <f t="shared" si="13"/>
        <v>83.1</v>
      </c>
      <c r="I27" s="42" t="str">
        <f t="shared" si="13"/>
        <v/>
      </c>
      <c r="J27" s="43">
        <f t="shared" si="13"/>
        <v>33.2</v>
      </c>
      <c r="K27" s="42" t="str">
        <f t="shared" si="13"/>
        <v/>
      </c>
      <c r="L27" s="42">
        <f t="shared" si="13"/>
        <v>67</v>
      </c>
      <c r="M27" s="42" t="str">
        <f t="shared" si="13"/>
        <v/>
      </c>
      <c r="N27" s="43">
        <f t="shared" si="13"/>
        <v>26.8</v>
      </c>
      <c r="O27" s="42" t="str">
        <f t="shared" si="13"/>
        <v/>
      </c>
      <c r="P27" s="42">
        <f t="shared" si="13"/>
        <v>77.6</v>
      </c>
      <c r="Q27" s="42" t="str">
        <f t="shared" si="13"/>
        <v/>
      </c>
      <c r="R27" s="43">
        <f t="shared" si="13"/>
        <v>31.1</v>
      </c>
      <c r="S27" s="42">
        <f t="shared" si="13"/>
        <v>76.4</v>
      </c>
      <c r="T27" s="42">
        <f t="shared" si="13"/>
        <v>81.1</v>
      </c>
      <c r="U27" s="42" t="str">
        <f t="shared" si="13"/>
        <v/>
      </c>
      <c r="V27" s="43">
        <f t="shared" si="13"/>
        <v>63</v>
      </c>
      <c r="W27" s="42" t="str">
        <f t="shared" si="13"/>
        <v/>
      </c>
      <c r="X27" s="42">
        <f t="shared" si="13"/>
        <v>83.7</v>
      </c>
      <c r="Y27" s="42" t="str">
        <f t="shared" si="13"/>
        <v/>
      </c>
      <c r="Z27" s="43">
        <f t="shared" si="13"/>
        <v>33.5</v>
      </c>
      <c r="AA27" s="42" t="str">
        <f t="shared" si="13"/>
        <v/>
      </c>
      <c r="AB27" s="42">
        <f t="shared" si="13"/>
        <v>88.2</v>
      </c>
      <c r="AC27" s="42" t="str">
        <f t="shared" si="13"/>
        <v/>
      </c>
      <c r="AD27" s="43">
        <f t="shared" si="13"/>
        <v>35.3</v>
      </c>
      <c r="AE27" s="42" t="str">
        <f t="shared" si="13"/>
        <v/>
      </c>
      <c r="AF27" s="42" t="str">
        <f t="shared" si="13"/>
        <v/>
      </c>
      <c r="AG27" s="42" t="str">
        <f t="shared" si="13"/>
        <v/>
      </c>
      <c r="AH27" s="43" t="str">
        <f t="shared" si="13"/>
        <v/>
      </c>
      <c r="AI27" s="42">
        <f t="shared" si="13"/>
        <v>279.3</v>
      </c>
      <c r="AJ27" s="42">
        <f t="shared" si="13"/>
        <v>40.4</v>
      </c>
      <c r="AK27" s="42" t="s">
        <v>45</v>
      </c>
      <c r="AL27" s="43" t="s">
        <v>45</v>
      </c>
    </row>
    <row r="28" ht="21.75" customHeight="1">
      <c r="A28" s="44" t="s">
        <v>46</v>
      </c>
      <c r="B28" s="45"/>
      <c r="C28" s="46">
        <f t="shared" ref="C28:AJ28" si="14">IFERROR(MAX(C7:C26), "")</f>
        <v>95</v>
      </c>
      <c r="D28" s="46">
        <f t="shared" si="14"/>
        <v>100</v>
      </c>
      <c r="E28" s="46">
        <f t="shared" si="14"/>
        <v>0</v>
      </c>
      <c r="F28" s="47">
        <f t="shared" si="14"/>
        <v>78</v>
      </c>
      <c r="G28" s="46">
        <f t="shared" si="14"/>
        <v>0</v>
      </c>
      <c r="H28" s="46">
        <f t="shared" si="14"/>
        <v>95</v>
      </c>
      <c r="I28" s="46">
        <f t="shared" si="14"/>
        <v>0</v>
      </c>
      <c r="J28" s="47">
        <f t="shared" si="14"/>
        <v>38</v>
      </c>
      <c r="K28" s="46">
        <f t="shared" si="14"/>
        <v>0</v>
      </c>
      <c r="L28" s="46">
        <f t="shared" si="14"/>
        <v>90</v>
      </c>
      <c r="M28" s="46">
        <f t="shared" si="14"/>
        <v>0</v>
      </c>
      <c r="N28" s="47">
        <f t="shared" si="14"/>
        <v>36</v>
      </c>
      <c r="O28" s="46">
        <f t="shared" si="14"/>
        <v>0</v>
      </c>
      <c r="P28" s="46">
        <f t="shared" si="14"/>
        <v>96</v>
      </c>
      <c r="Q28" s="46">
        <f t="shared" si="14"/>
        <v>0</v>
      </c>
      <c r="R28" s="47">
        <f t="shared" si="14"/>
        <v>38.4</v>
      </c>
      <c r="S28" s="46">
        <f t="shared" si="14"/>
        <v>88</v>
      </c>
      <c r="T28" s="46">
        <f t="shared" si="14"/>
        <v>95</v>
      </c>
      <c r="U28" s="46">
        <f t="shared" si="14"/>
        <v>0</v>
      </c>
      <c r="V28" s="47">
        <f t="shared" si="14"/>
        <v>73.2</v>
      </c>
      <c r="W28" s="46">
        <f t="shared" si="14"/>
        <v>0</v>
      </c>
      <c r="X28" s="46">
        <f t="shared" si="14"/>
        <v>85</v>
      </c>
      <c r="Y28" s="46">
        <f t="shared" si="14"/>
        <v>0</v>
      </c>
      <c r="Z28" s="47">
        <f t="shared" si="14"/>
        <v>34</v>
      </c>
      <c r="AA28" s="46">
        <f t="shared" si="14"/>
        <v>0</v>
      </c>
      <c r="AB28" s="46">
        <f t="shared" si="14"/>
        <v>98</v>
      </c>
      <c r="AC28" s="46">
        <f t="shared" si="14"/>
        <v>0</v>
      </c>
      <c r="AD28" s="47">
        <f t="shared" si="14"/>
        <v>39.2</v>
      </c>
      <c r="AE28" s="46">
        <f t="shared" si="14"/>
        <v>0</v>
      </c>
      <c r="AF28" s="46">
        <f t="shared" si="14"/>
        <v>0</v>
      </c>
      <c r="AG28" s="46">
        <f t="shared" si="14"/>
        <v>0</v>
      </c>
      <c r="AH28" s="47">
        <f t="shared" si="14"/>
        <v>0</v>
      </c>
      <c r="AI28" s="46">
        <f t="shared" si="14"/>
        <v>312</v>
      </c>
      <c r="AJ28" s="46">
        <f t="shared" si="14"/>
        <v>44.6</v>
      </c>
      <c r="AK28" s="46" t="s">
        <v>45</v>
      </c>
      <c r="AL28" s="47" t="s">
        <v>45</v>
      </c>
    </row>
    <row r="29" ht="21.75" customHeight="1">
      <c r="A29" s="48" t="s">
        <v>47</v>
      </c>
      <c r="B29" s="49"/>
      <c r="C29" s="50">
        <f t="shared" ref="C29:AJ29" si="15">IFERROR(MIN(C7:C26), "")</f>
        <v>85</v>
      </c>
      <c r="D29" s="50">
        <f t="shared" si="15"/>
        <v>30</v>
      </c>
      <c r="E29" s="50">
        <f t="shared" si="15"/>
        <v>0</v>
      </c>
      <c r="F29" s="51">
        <f t="shared" si="15"/>
        <v>47.2</v>
      </c>
      <c r="G29" s="50">
        <f t="shared" si="15"/>
        <v>0</v>
      </c>
      <c r="H29" s="50">
        <f t="shared" si="15"/>
        <v>75</v>
      </c>
      <c r="I29" s="50">
        <f t="shared" si="15"/>
        <v>0</v>
      </c>
      <c r="J29" s="51">
        <f t="shared" si="15"/>
        <v>30</v>
      </c>
      <c r="K29" s="50">
        <f t="shared" si="15"/>
        <v>0</v>
      </c>
      <c r="L29" s="50">
        <f t="shared" si="15"/>
        <v>20</v>
      </c>
      <c r="M29" s="50">
        <f t="shared" si="15"/>
        <v>0</v>
      </c>
      <c r="N29" s="51">
        <f t="shared" si="15"/>
        <v>8</v>
      </c>
      <c r="O29" s="50">
        <f t="shared" si="15"/>
        <v>0</v>
      </c>
      <c r="P29" s="50">
        <f t="shared" si="15"/>
        <v>63</v>
      </c>
      <c r="Q29" s="50">
        <f t="shared" si="15"/>
        <v>0</v>
      </c>
      <c r="R29" s="51">
        <f t="shared" si="15"/>
        <v>25.2</v>
      </c>
      <c r="S29" s="50">
        <f t="shared" si="15"/>
        <v>70</v>
      </c>
      <c r="T29" s="50">
        <f t="shared" si="15"/>
        <v>75</v>
      </c>
      <c r="U29" s="50">
        <f t="shared" si="15"/>
        <v>0</v>
      </c>
      <c r="V29" s="51">
        <f t="shared" si="15"/>
        <v>58</v>
      </c>
      <c r="W29" s="50">
        <f t="shared" si="15"/>
        <v>0</v>
      </c>
      <c r="X29" s="50">
        <f t="shared" si="15"/>
        <v>80</v>
      </c>
      <c r="Y29" s="50">
        <f t="shared" si="15"/>
        <v>0</v>
      </c>
      <c r="Z29" s="51">
        <f t="shared" si="15"/>
        <v>32</v>
      </c>
      <c r="AA29" s="50">
        <f t="shared" si="15"/>
        <v>0</v>
      </c>
      <c r="AB29" s="50">
        <f t="shared" si="15"/>
        <v>75</v>
      </c>
      <c r="AC29" s="50">
        <f t="shared" si="15"/>
        <v>0</v>
      </c>
      <c r="AD29" s="51">
        <f t="shared" si="15"/>
        <v>30</v>
      </c>
      <c r="AE29" s="50">
        <f t="shared" si="15"/>
        <v>0</v>
      </c>
      <c r="AF29" s="50">
        <f t="shared" si="15"/>
        <v>0</v>
      </c>
      <c r="AG29" s="50">
        <f t="shared" si="15"/>
        <v>0</v>
      </c>
      <c r="AH29" s="51">
        <f t="shared" si="15"/>
        <v>0</v>
      </c>
      <c r="AI29" s="50">
        <f t="shared" si="15"/>
        <v>171.2</v>
      </c>
      <c r="AJ29" s="50">
        <f t="shared" si="15"/>
        <v>34.2</v>
      </c>
      <c r="AK29" s="50" t="s">
        <v>45</v>
      </c>
      <c r="AL29" s="51" t="s">
        <v>45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5:J5"/>
    <mergeCell ref="K5:N5"/>
    <mergeCell ref="A27:B27"/>
    <mergeCell ref="A28:B28"/>
    <mergeCell ref="A29:B29"/>
    <mergeCell ref="O5:R5"/>
    <mergeCell ref="S5:V5"/>
    <mergeCell ref="W5:Z5"/>
    <mergeCell ref="AA5:AD5"/>
    <mergeCell ref="AE5:AH5"/>
    <mergeCell ref="AI5:AL5"/>
    <mergeCell ref="A1:AL1"/>
    <mergeCell ref="A2:AL2"/>
    <mergeCell ref="A3:B3"/>
    <mergeCell ref="C3:AH3"/>
    <mergeCell ref="AI3:AL3"/>
    <mergeCell ref="A5:B5"/>
    <mergeCell ref="C5:F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5" width="5.43"/>
    <col customWidth="1" min="6" max="6" width="6.86"/>
    <col customWidth="1" min="7" max="9" width="5.43"/>
    <col customWidth="1" min="10" max="10" width="6.86"/>
    <col customWidth="1" min="11" max="13" width="5.43"/>
    <col customWidth="1" min="14" max="14" width="6.86"/>
    <col customWidth="1" min="15" max="17" width="5.43"/>
    <col customWidth="1" min="18" max="18" width="6.86"/>
    <col customWidth="1" min="19" max="21" width="5.43"/>
    <col customWidth="1" min="22" max="22" width="6.86"/>
    <col customWidth="1" min="23" max="25" width="5.43"/>
    <col customWidth="1" min="26" max="26" width="6.86"/>
    <col customWidth="1" min="27" max="29" width="5.43"/>
    <col customWidth="1" min="30" max="30" width="6.86"/>
    <col customWidth="1" min="31" max="33" width="5.43"/>
    <col customWidth="1" min="34" max="34" width="6.86"/>
    <col customWidth="1" min="35" max="36" width="7.43"/>
    <col customWidth="1" min="37" max="37" width="6.0"/>
    <col customWidth="1" min="38" max="38" width="13.0"/>
  </cols>
  <sheetData>
    <row r="1" ht="27.75" customHeight="1">
      <c r="A1" s="1" t="s">
        <v>48</v>
      </c>
    </row>
    <row r="2" ht="18.0" customHeight="1">
      <c r="A2" s="2" t="s">
        <v>49</v>
      </c>
    </row>
    <row r="3" ht="18.0" customHeight="1">
      <c r="A3" s="3" t="s">
        <v>50</v>
      </c>
      <c r="C3" s="4" t="s">
        <v>3</v>
      </c>
      <c r="AI3" s="5" t="str">
        <f>HYPERLINK("#'Dashboard &amp; Panduan'!A1", "⬅ Kembali ke Menu")</f>
        <v>⬅ Kembali ke Menu</v>
      </c>
    </row>
    <row r="4" ht="6.0" customHeight="1"/>
    <row r="5" ht="24.0" customHeight="1">
      <c r="A5" s="6" t="s">
        <v>4</v>
      </c>
      <c r="B5" s="7"/>
      <c r="C5" s="8" t="s">
        <v>5</v>
      </c>
      <c r="D5" s="9"/>
      <c r="E5" s="9"/>
      <c r="F5" s="7"/>
      <c r="G5" s="10" t="s">
        <v>6</v>
      </c>
      <c r="H5" s="9"/>
      <c r="I5" s="9"/>
      <c r="J5" s="7"/>
      <c r="K5" s="11" t="s">
        <v>7</v>
      </c>
      <c r="L5" s="9"/>
      <c r="M5" s="9"/>
      <c r="N5" s="7"/>
      <c r="O5" s="12" t="s">
        <v>8</v>
      </c>
      <c r="P5" s="9"/>
      <c r="Q5" s="9"/>
      <c r="R5" s="7"/>
      <c r="S5" s="13" t="s">
        <v>9</v>
      </c>
      <c r="T5" s="9"/>
      <c r="U5" s="9"/>
      <c r="V5" s="7"/>
      <c r="W5" s="14" t="s">
        <v>10</v>
      </c>
      <c r="X5" s="9"/>
      <c r="Y5" s="9"/>
      <c r="Z5" s="7"/>
      <c r="AA5" s="15" t="s">
        <v>11</v>
      </c>
      <c r="AB5" s="9"/>
      <c r="AC5" s="9"/>
      <c r="AD5" s="7"/>
      <c r="AE5" s="16" t="s">
        <v>12</v>
      </c>
      <c r="AF5" s="9"/>
      <c r="AG5" s="9"/>
      <c r="AH5" s="7"/>
      <c r="AI5" s="17" t="s">
        <v>13</v>
      </c>
      <c r="AJ5" s="9"/>
      <c r="AK5" s="9"/>
      <c r="AL5" s="7"/>
    </row>
    <row r="6" ht="19.5" customHeight="1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20" t="s">
        <v>19</v>
      </c>
      <c r="G6" s="21" t="s">
        <v>16</v>
      </c>
      <c r="H6" s="21" t="s">
        <v>17</v>
      </c>
      <c r="I6" s="21" t="s">
        <v>18</v>
      </c>
      <c r="J6" s="20" t="s">
        <v>19</v>
      </c>
      <c r="K6" s="22" t="s">
        <v>16</v>
      </c>
      <c r="L6" s="22" t="s">
        <v>17</v>
      </c>
      <c r="M6" s="22" t="s">
        <v>18</v>
      </c>
      <c r="N6" s="20" t="s">
        <v>19</v>
      </c>
      <c r="O6" s="23" t="s">
        <v>16</v>
      </c>
      <c r="P6" s="23" t="s">
        <v>17</v>
      </c>
      <c r="Q6" s="23" t="s">
        <v>18</v>
      </c>
      <c r="R6" s="20" t="s">
        <v>19</v>
      </c>
      <c r="S6" s="24" t="s">
        <v>16</v>
      </c>
      <c r="T6" s="24" t="s">
        <v>17</v>
      </c>
      <c r="U6" s="24" t="s">
        <v>18</v>
      </c>
      <c r="V6" s="20" t="s">
        <v>19</v>
      </c>
      <c r="W6" s="25" t="s">
        <v>16</v>
      </c>
      <c r="X6" s="25" t="s">
        <v>17</v>
      </c>
      <c r="Y6" s="25" t="s">
        <v>18</v>
      </c>
      <c r="Z6" s="20" t="s">
        <v>19</v>
      </c>
      <c r="AA6" s="18" t="s">
        <v>16</v>
      </c>
      <c r="AB6" s="18" t="s">
        <v>17</v>
      </c>
      <c r="AC6" s="18" t="s">
        <v>18</v>
      </c>
      <c r="AD6" s="20" t="s">
        <v>19</v>
      </c>
      <c r="AE6" s="26" t="s">
        <v>16</v>
      </c>
      <c r="AF6" s="26" t="s">
        <v>17</v>
      </c>
      <c r="AG6" s="26" t="s">
        <v>18</v>
      </c>
      <c r="AH6" s="20" t="s">
        <v>19</v>
      </c>
      <c r="AI6" s="27" t="s">
        <v>20</v>
      </c>
      <c r="AJ6" s="27" t="s">
        <v>21</v>
      </c>
      <c r="AK6" s="27" t="s">
        <v>22</v>
      </c>
      <c r="AL6" s="27" t="s">
        <v>23</v>
      </c>
    </row>
    <row r="7" ht="25.5" customHeight="1">
      <c r="A7" s="28">
        <v>1.0</v>
      </c>
      <c r="B7" s="29" t="s">
        <v>51</v>
      </c>
      <c r="C7" s="30">
        <v>85.0</v>
      </c>
      <c r="D7" s="30">
        <v>40.0</v>
      </c>
      <c r="E7" s="31"/>
      <c r="F7" s="32">
        <f t="shared" ref="F7:F23" si="1">IF(COUNT(C7:E7)=0, "", ROUND(C7*0.4 + D7*0.4 + E7*0.2, 1))</f>
        <v>50</v>
      </c>
      <c r="G7" s="31"/>
      <c r="H7" s="31"/>
      <c r="I7" s="31"/>
      <c r="J7" s="32" t="str">
        <f t="shared" ref="J7:J23" si="2">IF(COUNT(G7:I7)=0, "", ROUND(G7*0.4 + H7*0.4 + I7*0.2, 1))</f>
        <v/>
      </c>
      <c r="K7" s="31"/>
      <c r="L7" s="30">
        <v>85.0</v>
      </c>
      <c r="M7" s="31"/>
      <c r="N7" s="32">
        <f t="shared" ref="N7:N23" si="3">IF(COUNT(K7:M7)=0, "", ROUND(K7*0.4 + L7*0.4 + M7*0.2, 1))</f>
        <v>34</v>
      </c>
      <c r="O7" s="31"/>
      <c r="P7" s="30">
        <v>70.0</v>
      </c>
      <c r="Q7" s="31"/>
      <c r="R7" s="32">
        <f t="shared" ref="R7:R23" si="4">IF(COUNT(O7:Q7)=0, "", ROUND(O7*0.4 + P7*0.4 + Q7*0.2, 1))</f>
        <v>28</v>
      </c>
      <c r="S7" s="30">
        <v>75.0</v>
      </c>
      <c r="T7" s="30">
        <v>75.0</v>
      </c>
      <c r="U7" s="31"/>
      <c r="V7" s="32">
        <f t="shared" ref="V7:V23" si="5">IF(COUNT(S7:U7)=0, "", ROUND(S7*0.4 + T7*0.4 + U7*0.2, 1))</f>
        <v>60</v>
      </c>
      <c r="W7" s="31"/>
      <c r="X7" s="30">
        <v>80.0</v>
      </c>
      <c r="Y7" s="31"/>
      <c r="Z7" s="32">
        <f t="shared" ref="Z7:Z23" si="6">IF(COUNT(W7:Y7)=0, "", ROUND(W7*0.4 + X7*0.4 + Y7*0.2, 1))</f>
        <v>32</v>
      </c>
      <c r="AA7" s="31"/>
      <c r="AB7" s="30">
        <v>76.0</v>
      </c>
      <c r="AC7" s="31"/>
      <c r="AD7" s="32">
        <f t="shared" ref="AD7:AD23" si="7">IF(COUNT(AA7:AC7)=0, "", ROUND(AA7*0.4 + AB7*0.4 + AC7*0.2, 1))</f>
        <v>30.4</v>
      </c>
      <c r="AE7" s="31"/>
      <c r="AF7" s="31"/>
      <c r="AG7" s="31"/>
      <c r="AH7" s="32" t="str">
        <f t="shared" ref="AH7:AH23" si="8">IF(COUNT(AE7:AG7)=0, "", ROUND(AE7*0.4 + AF7*0.4 + AG7*0.2, 1))</f>
        <v/>
      </c>
      <c r="AI7" s="33">
        <f t="shared" ref="AI7:AI23" si="9">IFERROR(SUM(F7,J7,N7,R7,V7,Z7,AD7,AH7), "")</f>
        <v>234.4</v>
      </c>
      <c r="AJ7" s="33">
        <f t="shared" ref="AJ7:AJ23" si="10">IFERROR(ROUND(AVERAGE(F7,J7,N7,R7,V7,Z7,AD7,AH7), 1), "")</f>
        <v>39.1</v>
      </c>
      <c r="AK7" s="34">
        <f t="shared" ref="AK7:AK23" si="11">IF(AJ7="", "", RANK(AJ7, $AJ$7:$AJ$23))</f>
        <v>16</v>
      </c>
      <c r="AL7" s="35" t="str">
        <f t="shared" ref="AL7:AL23" si="12">IF(AJ7="", "", IF(AJ7&gt;=90, "A (Sangat Baik)", IF(AJ7&gt;=80, "B (Baik)", IF(AJ7&gt;=70, "C (Cukup)", "D (Kurang)"))))</f>
        <v>D (Kurang)</v>
      </c>
    </row>
    <row r="8" ht="25.5" customHeight="1">
      <c r="A8" s="36">
        <v>2.0</v>
      </c>
      <c r="B8" s="37" t="s">
        <v>52</v>
      </c>
      <c r="C8" s="38">
        <v>85.0</v>
      </c>
      <c r="D8" s="38">
        <v>73.0</v>
      </c>
      <c r="E8" s="39"/>
      <c r="F8" s="32">
        <f t="shared" si="1"/>
        <v>63.2</v>
      </c>
      <c r="G8" s="39"/>
      <c r="H8" s="39"/>
      <c r="I8" s="39"/>
      <c r="J8" s="32" t="str">
        <f t="shared" si="2"/>
        <v/>
      </c>
      <c r="K8" s="39"/>
      <c r="L8" s="38">
        <v>85.0</v>
      </c>
      <c r="M8" s="39"/>
      <c r="N8" s="32">
        <f t="shared" si="3"/>
        <v>34</v>
      </c>
      <c r="O8" s="39"/>
      <c r="P8" s="38">
        <v>100.0</v>
      </c>
      <c r="Q8" s="39"/>
      <c r="R8" s="32">
        <f t="shared" si="4"/>
        <v>40</v>
      </c>
      <c r="S8" s="38">
        <v>85.0</v>
      </c>
      <c r="T8" s="38">
        <v>90.0</v>
      </c>
      <c r="U8" s="39"/>
      <c r="V8" s="32">
        <f t="shared" si="5"/>
        <v>70</v>
      </c>
      <c r="W8" s="39"/>
      <c r="X8" s="38">
        <v>83.0</v>
      </c>
      <c r="Y8" s="39"/>
      <c r="Z8" s="32">
        <f t="shared" si="6"/>
        <v>33.2</v>
      </c>
      <c r="AA8" s="39"/>
      <c r="AB8" s="38">
        <v>95.0</v>
      </c>
      <c r="AC8" s="39"/>
      <c r="AD8" s="32">
        <f t="shared" si="7"/>
        <v>38</v>
      </c>
      <c r="AE8" s="39"/>
      <c r="AF8" s="39"/>
      <c r="AG8" s="39"/>
      <c r="AH8" s="32" t="str">
        <f t="shared" si="8"/>
        <v/>
      </c>
      <c r="AI8" s="33">
        <f t="shared" si="9"/>
        <v>278.4</v>
      </c>
      <c r="AJ8" s="33">
        <f t="shared" si="10"/>
        <v>46.4</v>
      </c>
      <c r="AK8" s="34">
        <f t="shared" si="11"/>
        <v>3</v>
      </c>
      <c r="AL8" s="35" t="str">
        <f t="shared" si="12"/>
        <v>D (Kurang)</v>
      </c>
    </row>
    <row r="9" ht="25.5" customHeight="1">
      <c r="A9" s="28">
        <v>3.0</v>
      </c>
      <c r="B9" s="29" t="s">
        <v>53</v>
      </c>
      <c r="C9" s="30">
        <v>85.0</v>
      </c>
      <c r="D9" s="30">
        <v>40.0</v>
      </c>
      <c r="E9" s="31"/>
      <c r="F9" s="32">
        <f t="shared" si="1"/>
        <v>50</v>
      </c>
      <c r="G9" s="31"/>
      <c r="H9" s="31"/>
      <c r="I9" s="31"/>
      <c r="J9" s="32" t="str">
        <f t="shared" si="2"/>
        <v/>
      </c>
      <c r="K9" s="31"/>
      <c r="L9" s="30">
        <v>50.0</v>
      </c>
      <c r="M9" s="31"/>
      <c r="N9" s="32">
        <f t="shared" si="3"/>
        <v>20</v>
      </c>
      <c r="O9" s="31"/>
      <c r="P9" s="30">
        <v>51.0</v>
      </c>
      <c r="Q9" s="31"/>
      <c r="R9" s="32">
        <f t="shared" si="4"/>
        <v>20.4</v>
      </c>
      <c r="S9" s="30">
        <v>65.0</v>
      </c>
      <c r="T9" s="30">
        <v>65.0</v>
      </c>
      <c r="U9" s="31"/>
      <c r="V9" s="32">
        <f t="shared" si="5"/>
        <v>52</v>
      </c>
      <c r="W9" s="31"/>
      <c r="X9" s="30">
        <v>82.0</v>
      </c>
      <c r="Y9" s="31"/>
      <c r="Z9" s="32">
        <f t="shared" si="6"/>
        <v>32.8</v>
      </c>
      <c r="AA9" s="31"/>
      <c r="AB9" s="30">
        <v>75.0</v>
      </c>
      <c r="AC9" s="31"/>
      <c r="AD9" s="32">
        <f t="shared" si="7"/>
        <v>30</v>
      </c>
      <c r="AE9" s="31"/>
      <c r="AF9" s="31"/>
      <c r="AG9" s="31"/>
      <c r="AH9" s="32" t="str">
        <f t="shared" si="8"/>
        <v/>
      </c>
      <c r="AI9" s="33">
        <f t="shared" si="9"/>
        <v>205.2</v>
      </c>
      <c r="AJ9" s="33">
        <f t="shared" si="10"/>
        <v>34.2</v>
      </c>
      <c r="AK9" s="34">
        <f t="shared" si="11"/>
        <v>17</v>
      </c>
      <c r="AL9" s="35" t="str">
        <f t="shared" si="12"/>
        <v>D (Kurang)</v>
      </c>
    </row>
    <row r="10" ht="25.5" customHeight="1">
      <c r="A10" s="36">
        <v>4.0</v>
      </c>
      <c r="B10" s="37" t="s">
        <v>54</v>
      </c>
      <c r="C10" s="38">
        <v>95.0</v>
      </c>
      <c r="D10" s="38">
        <v>95.0</v>
      </c>
      <c r="E10" s="39"/>
      <c r="F10" s="32">
        <f t="shared" si="1"/>
        <v>76</v>
      </c>
      <c r="G10" s="39"/>
      <c r="H10" s="39"/>
      <c r="I10" s="39"/>
      <c r="J10" s="32" t="str">
        <f t="shared" si="2"/>
        <v/>
      </c>
      <c r="K10" s="39"/>
      <c r="L10" s="38">
        <v>85.0</v>
      </c>
      <c r="M10" s="39"/>
      <c r="N10" s="32">
        <f t="shared" si="3"/>
        <v>34</v>
      </c>
      <c r="O10" s="39"/>
      <c r="P10" s="38">
        <v>100.0</v>
      </c>
      <c r="Q10" s="39"/>
      <c r="R10" s="32">
        <f t="shared" si="4"/>
        <v>40</v>
      </c>
      <c r="S10" s="38">
        <v>75.0</v>
      </c>
      <c r="T10" s="38">
        <v>83.0</v>
      </c>
      <c r="U10" s="39"/>
      <c r="V10" s="32">
        <f t="shared" si="5"/>
        <v>63.2</v>
      </c>
      <c r="W10" s="39"/>
      <c r="X10" s="38">
        <v>80.0</v>
      </c>
      <c r="Y10" s="39"/>
      <c r="Z10" s="32">
        <f t="shared" si="6"/>
        <v>32</v>
      </c>
      <c r="AA10" s="39"/>
      <c r="AB10" s="38">
        <v>98.0</v>
      </c>
      <c r="AC10" s="39"/>
      <c r="AD10" s="32">
        <f t="shared" si="7"/>
        <v>39.2</v>
      </c>
      <c r="AE10" s="39"/>
      <c r="AF10" s="39"/>
      <c r="AG10" s="39"/>
      <c r="AH10" s="32" t="str">
        <f t="shared" si="8"/>
        <v/>
      </c>
      <c r="AI10" s="33">
        <f t="shared" si="9"/>
        <v>284.4</v>
      </c>
      <c r="AJ10" s="33">
        <f t="shared" si="10"/>
        <v>47.4</v>
      </c>
      <c r="AK10" s="34">
        <f t="shared" si="11"/>
        <v>1</v>
      </c>
      <c r="AL10" s="35" t="str">
        <f t="shared" si="12"/>
        <v>D (Kurang)</v>
      </c>
    </row>
    <row r="11" ht="25.5" customHeight="1">
      <c r="A11" s="28">
        <v>5.0</v>
      </c>
      <c r="B11" s="29" t="s">
        <v>55</v>
      </c>
      <c r="C11" s="30">
        <v>95.0</v>
      </c>
      <c r="D11" s="30">
        <v>95.0</v>
      </c>
      <c r="E11" s="31"/>
      <c r="F11" s="32">
        <f t="shared" si="1"/>
        <v>76</v>
      </c>
      <c r="G11" s="31"/>
      <c r="H11" s="31"/>
      <c r="I11" s="31"/>
      <c r="J11" s="32" t="str">
        <f t="shared" si="2"/>
        <v/>
      </c>
      <c r="K11" s="31"/>
      <c r="L11" s="30">
        <v>85.0</v>
      </c>
      <c r="M11" s="31"/>
      <c r="N11" s="32">
        <f t="shared" si="3"/>
        <v>34</v>
      </c>
      <c r="O11" s="31"/>
      <c r="P11" s="30">
        <v>91.0</v>
      </c>
      <c r="Q11" s="31"/>
      <c r="R11" s="32">
        <f t="shared" si="4"/>
        <v>36.4</v>
      </c>
      <c r="S11" s="30">
        <v>75.0</v>
      </c>
      <c r="T11" s="30">
        <v>83.0</v>
      </c>
      <c r="U11" s="31"/>
      <c r="V11" s="32">
        <f t="shared" si="5"/>
        <v>63.2</v>
      </c>
      <c r="W11" s="31"/>
      <c r="X11" s="30">
        <v>85.0</v>
      </c>
      <c r="Y11" s="31"/>
      <c r="Z11" s="32">
        <f t="shared" si="6"/>
        <v>34</v>
      </c>
      <c r="AA11" s="31"/>
      <c r="AB11" s="30">
        <v>98.0</v>
      </c>
      <c r="AC11" s="31"/>
      <c r="AD11" s="32">
        <f t="shared" si="7"/>
        <v>39.2</v>
      </c>
      <c r="AE11" s="31"/>
      <c r="AF11" s="31"/>
      <c r="AG11" s="31"/>
      <c r="AH11" s="32" t="str">
        <f t="shared" si="8"/>
        <v/>
      </c>
      <c r="AI11" s="33">
        <f t="shared" si="9"/>
        <v>282.8</v>
      </c>
      <c r="AJ11" s="33">
        <f t="shared" si="10"/>
        <v>47.1</v>
      </c>
      <c r="AK11" s="34">
        <f t="shared" si="11"/>
        <v>2</v>
      </c>
      <c r="AL11" s="35" t="str">
        <f t="shared" si="12"/>
        <v>D (Kurang)</v>
      </c>
    </row>
    <row r="12" ht="25.5" customHeight="1">
      <c r="A12" s="36">
        <v>6.0</v>
      </c>
      <c r="B12" s="37" t="s">
        <v>56</v>
      </c>
      <c r="C12" s="38">
        <v>85.0</v>
      </c>
      <c r="D12" s="38">
        <v>86.0</v>
      </c>
      <c r="E12" s="39"/>
      <c r="F12" s="32">
        <f t="shared" si="1"/>
        <v>68.4</v>
      </c>
      <c r="G12" s="39"/>
      <c r="H12" s="39"/>
      <c r="I12" s="39"/>
      <c r="J12" s="32" t="str">
        <f t="shared" si="2"/>
        <v/>
      </c>
      <c r="K12" s="39"/>
      <c r="L12" s="38">
        <v>85.0</v>
      </c>
      <c r="M12" s="39"/>
      <c r="N12" s="32">
        <f t="shared" si="3"/>
        <v>34</v>
      </c>
      <c r="O12" s="39"/>
      <c r="P12" s="38">
        <v>86.0</v>
      </c>
      <c r="Q12" s="39"/>
      <c r="R12" s="32">
        <f t="shared" si="4"/>
        <v>34.4</v>
      </c>
      <c r="S12" s="38">
        <v>75.0</v>
      </c>
      <c r="T12" s="38">
        <v>85.0</v>
      </c>
      <c r="U12" s="39"/>
      <c r="V12" s="32">
        <f t="shared" si="5"/>
        <v>64</v>
      </c>
      <c r="W12" s="39"/>
      <c r="X12" s="38">
        <v>83.0</v>
      </c>
      <c r="Y12" s="39"/>
      <c r="Z12" s="32">
        <f t="shared" si="6"/>
        <v>33.2</v>
      </c>
      <c r="AA12" s="39"/>
      <c r="AB12" s="38">
        <v>98.0</v>
      </c>
      <c r="AC12" s="39"/>
      <c r="AD12" s="32">
        <f t="shared" si="7"/>
        <v>39.2</v>
      </c>
      <c r="AE12" s="39"/>
      <c r="AF12" s="39"/>
      <c r="AG12" s="39"/>
      <c r="AH12" s="32" t="str">
        <f t="shared" si="8"/>
        <v/>
      </c>
      <c r="AI12" s="33">
        <f t="shared" si="9"/>
        <v>273.2</v>
      </c>
      <c r="AJ12" s="33">
        <f t="shared" si="10"/>
        <v>45.5</v>
      </c>
      <c r="AK12" s="34">
        <f t="shared" si="11"/>
        <v>5</v>
      </c>
      <c r="AL12" s="35" t="str">
        <f t="shared" si="12"/>
        <v>D (Kurang)</v>
      </c>
    </row>
    <row r="13" ht="25.5" customHeight="1">
      <c r="A13" s="28">
        <v>7.0</v>
      </c>
      <c r="B13" s="29" t="s">
        <v>57</v>
      </c>
      <c r="C13" s="30">
        <v>85.0</v>
      </c>
      <c r="D13" s="30">
        <v>73.0</v>
      </c>
      <c r="E13" s="31"/>
      <c r="F13" s="32">
        <f t="shared" si="1"/>
        <v>63.2</v>
      </c>
      <c r="G13" s="31"/>
      <c r="H13" s="31"/>
      <c r="I13" s="31"/>
      <c r="J13" s="32" t="str">
        <f t="shared" si="2"/>
        <v/>
      </c>
      <c r="K13" s="31"/>
      <c r="L13" s="30">
        <v>80.0</v>
      </c>
      <c r="M13" s="31"/>
      <c r="N13" s="32">
        <f t="shared" si="3"/>
        <v>32</v>
      </c>
      <c r="O13" s="31"/>
      <c r="P13" s="30">
        <v>91.0</v>
      </c>
      <c r="Q13" s="31"/>
      <c r="R13" s="32">
        <f t="shared" si="4"/>
        <v>36.4</v>
      </c>
      <c r="S13" s="30">
        <v>75.0</v>
      </c>
      <c r="T13" s="30">
        <v>75.0</v>
      </c>
      <c r="U13" s="31"/>
      <c r="V13" s="32">
        <f t="shared" si="5"/>
        <v>60</v>
      </c>
      <c r="W13" s="31"/>
      <c r="X13" s="30">
        <v>85.0</v>
      </c>
      <c r="Y13" s="31"/>
      <c r="Z13" s="32">
        <f t="shared" si="6"/>
        <v>34</v>
      </c>
      <c r="AA13" s="31"/>
      <c r="AB13" s="30">
        <v>85.0</v>
      </c>
      <c r="AC13" s="31"/>
      <c r="AD13" s="32">
        <f t="shared" si="7"/>
        <v>34</v>
      </c>
      <c r="AE13" s="31"/>
      <c r="AF13" s="31"/>
      <c r="AG13" s="31"/>
      <c r="AH13" s="32" t="str">
        <f t="shared" si="8"/>
        <v/>
      </c>
      <c r="AI13" s="33">
        <f t="shared" si="9"/>
        <v>259.6</v>
      </c>
      <c r="AJ13" s="33">
        <f t="shared" si="10"/>
        <v>43.3</v>
      </c>
      <c r="AK13" s="34">
        <f t="shared" si="11"/>
        <v>8</v>
      </c>
      <c r="AL13" s="35" t="str">
        <f t="shared" si="12"/>
        <v>D (Kurang)</v>
      </c>
    </row>
    <row r="14" ht="25.5" customHeight="1">
      <c r="A14" s="36">
        <v>8.0</v>
      </c>
      <c r="B14" s="37" t="s">
        <v>58</v>
      </c>
      <c r="C14" s="38">
        <v>95.0</v>
      </c>
      <c r="D14" s="38">
        <v>73.0</v>
      </c>
      <c r="E14" s="39"/>
      <c r="F14" s="32">
        <f t="shared" si="1"/>
        <v>67.2</v>
      </c>
      <c r="G14" s="39"/>
      <c r="H14" s="39"/>
      <c r="I14" s="39"/>
      <c r="J14" s="32" t="str">
        <f t="shared" si="2"/>
        <v/>
      </c>
      <c r="K14" s="39"/>
      <c r="L14" s="38">
        <v>85.0</v>
      </c>
      <c r="M14" s="39"/>
      <c r="N14" s="32">
        <f t="shared" si="3"/>
        <v>34</v>
      </c>
      <c r="O14" s="39"/>
      <c r="P14" s="38">
        <v>61.0</v>
      </c>
      <c r="Q14" s="39"/>
      <c r="R14" s="32">
        <f t="shared" si="4"/>
        <v>24.4</v>
      </c>
      <c r="S14" s="38">
        <v>75.0</v>
      </c>
      <c r="T14" s="38">
        <v>82.0</v>
      </c>
      <c r="U14" s="39"/>
      <c r="V14" s="32">
        <f t="shared" si="5"/>
        <v>62.8</v>
      </c>
      <c r="W14" s="39"/>
      <c r="X14" s="38">
        <v>80.0</v>
      </c>
      <c r="Y14" s="39"/>
      <c r="Z14" s="32">
        <f t="shared" si="6"/>
        <v>32</v>
      </c>
      <c r="AA14" s="39"/>
      <c r="AB14" s="38">
        <v>95.0</v>
      </c>
      <c r="AC14" s="39"/>
      <c r="AD14" s="32">
        <f t="shared" si="7"/>
        <v>38</v>
      </c>
      <c r="AE14" s="39"/>
      <c r="AF14" s="39"/>
      <c r="AG14" s="39"/>
      <c r="AH14" s="32" t="str">
        <f t="shared" si="8"/>
        <v/>
      </c>
      <c r="AI14" s="33">
        <f t="shared" si="9"/>
        <v>258.4</v>
      </c>
      <c r="AJ14" s="33">
        <f t="shared" si="10"/>
        <v>43.1</v>
      </c>
      <c r="AK14" s="34">
        <f t="shared" si="11"/>
        <v>9</v>
      </c>
      <c r="AL14" s="35" t="str">
        <f t="shared" si="12"/>
        <v>D (Kurang)</v>
      </c>
    </row>
    <row r="15" ht="25.5" customHeight="1">
      <c r="A15" s="28">
        <v>9.0</v>
      </c>
      <c r="B15" s="29" t="s">
        <v>59</v>
      </c>
      <c r="C15" s="30">
        <v>85.0</v>
      </c>
      <c r="D15" s="30">
        <v>73.0</v>
      </c>
      <c r="E15" s="31"/>
      <c r="F15" s="32">
        <f t="shared" si="1"/>
        <v>63.2</v>
      </c>
      <c r="G15" s="31"/>
      <c r="H15" s="31"/>
      <c r="I15" s="31"/>
      <c r="J15" s="32" t="str">
        <f t="shared" si="2"/>
        <v/>
      </c>
      <c r="K15" s="31"/>
      <c r="L15" s="30">
        <v>80.0</v>
      </c>
      <c r="M15" s="31"/>
      <c r="N15" s="32">
        <f t="shared" si="3"/>
        <v>32</v>
      </c>
      <c r="O15" s="31"/>
      <c r="P15" s="30">
        <v>65.0</v>
      </c>
      <c r="Q15" s="31"/>
      <c r="R15" s="32">
        <f t="shared" si="4"/>
        <v>26</v>
      </c>
      <c r="S15" s="30">
        <v>78.0</v>
      </c>
      <c r="T15" s="30">
        <v>84.0</v>
      </c>
      <c r="U15" s="31"/>
      <c r="V15" s="32">
        <f t="shared" si="5"/>
        <v>64.8</v>
      </c>
      <c r="W15" s="31"/>
      <c r="X15" s="30">
        <v>82.0</v>
      </c>
      <c r="Y15" s="31"/>
      <c r="Z15" s="32">
        <f t="shared" si="6"/>
        <v>32.8</v>
      </c>
      <c r="AA15" s="31"/>
      <c r="AB15" s="30">
        <v>95.0</v>
      </c>
      <c r="AC15" s="31"/>
      <c r="AD15" s="32">
        <f t="shared" si="7"/>
        <v>38</v>
      </c>
      <c r="AE15" s="31"/>
      <c r="AF15" s="31"/>
      <c r="AG15" s="31"/>
      <c r="AH15" s="32" t="str">
        <f t="shared" si="8"/>
        <v/>
      </c>
      <c r="AI15" s="33">
        <f t="shared" si="9"/>
        <v>256.8</v>
      </c>
      <c r="AJ15" s="33">
        <f t="shared" si="10"/>
        <v>42.8</v>
      </c>
      <c r="AK15" s="34">
        <f t="shared" si="11"/>
        <v>11</v>
      </c>
      <c r="AL15" s="35" t="str">
        <f t="shared" si="12"/>
        <v>D (Kurang)</v>
      </c>
    </row>
    <row r="16" ht="25.5" customHeight="1">
      <c r="A16" s="36">
        <v>10.0</v>
      </c>
      <c r="B16" s="37" t="s">
        <v>60</v>
      </c>
      <c r="C16" s="38">
        <v>85.0</v>
      </c>
      <c r="D16" s="38">
        <v>86.0</v>
      </c>
      <c r="E16" s="39"/>
      <c r="F16" s="32">
        <f t="shared" si="1"/>
        <v>68.4</v>
      </c>
      <c r="G16" s="39"/>
      <c r="H16" s="39"/>
      <c r="I16" s="39"/>
      <c r="J16" s="32" t="str">
        <f t="shared" si="2"/>
        <v/>
      </c>
      <c r="K16" s="39"/>
      <c r="L16" s="38">
        <v>90.0</v>
      </c>
      <c r="M16" s="39"/>
      <c r="N16" s="32">
        <f t="shared" si="3"/>
        <v>36</v>
      </c>
      <c r="O16" s="39"/>
      <c r="P16" s="38">
        <v>87.0</v>
      </c>
      <c r="Q16" s="39"/>
      <c r="R16" s="32">
        <f t="shared" si="4"/>
        <v>34.8</v>
      </c>
      <c r="S16" s="38">
        <v>75.0</v>
      </c>
      <c r="T16" s="38">
        <v>83.0</v>
      </c>
      <c r="U16" s="39"/>
      <c r="V16" s="32">
        <f t="shared" si="5"/>
        <v>63.2</v>
      </c>
      <c r="W16" s="39"/>
      <c r="X16" s="38">
        <v>80.0</v>
      </c>
      <c r="Y16" s="39"/>
      <c r="Z16" s="32">
        <f t="shared" si="6"/>
        <v>32</v>
      </c>
      <c r="AA16" s="39"/>
      <c r="AB16" s="38">
        <v>98.0</v>
      </c>
      <c r="AC16" s="39"/>
      <c r="AD16" s="32">
        <f t="shared" si="7"/>
        <v>39.2</v>
      </c>
      <c r="AE16" s="39"/>
      <c r="AF16" s="39"/>
      <c r="AG16" s="39"/>
      <c r="AH16" s="32" t="str">
        <f t="shared" si="8"/>
        <v/>
      </c>
      <c r="AI16" s="33">
        <f t="shared" si="9"/>
        <v>273.6</v>
      </c>
      <c r="AJ16" s="33">
        <f t="shared" si="10"/>
        <v>45.6</v>
      </c>
      <c r="AK16" s="34">
        <f t="shared" si="11"/>
        <v>4</v>
      </c>
      <c r="AL16" s="35" t="str">
        <f t="shared" si="12"/>
        <v>D (Kurang)</v>
      </c>
    </row>
    <row r="17" ht="25.5" customHeight="1">
      <c r="A17" s="28">
        <v>11.0</v>
      </c>
      <c r="B17" s="29" t="s">
        <v>61</v>
      </c>
      <c r="C17" s="30">
        <v>95.0</v>
      </c>
      <c r="D17" s="30">
        <v>50.0</v>
      </c>
      <c r="E17" s="31"/>
      <c r="F17" s="32">
        <f t="shared" si="1"/>
        <v>58</v>
      </c>
      <c r="G17" s="31"/>
      <c r="H17" s="31"/>
      <c r="I17" s="31"/>
      <c r="J17" s="32" t="str">
        <f t="shared" si="2"/>
        <v/>
      </c>
      <c r="K17" s="31"/>
      <c r="L17" s="30">
        <v>85.0</v>
      </c>
      <c r="M17" s="31"/>
      <c r="N17" s="32">
        <f t="shared" si="3"/>
        <v>34</v>
      </c>
      <c r="O17" s="31"/>
      <c r="P17" s="30">
        <v>94.0</v>
      </c>
      <c r="Q17" s="31"/>
      <c r="R17" s="32">
        <f t="shared" si="4"/>
        <v>37.6</v>
      </c>
      <c r="S17" s="30">
        <v>77.0</v>
      </c>
      <c r="T17" s="30">
        <v>83.0</v>
      </c>
      <c r="U17" s="31"/>
      <c r="V17" s="32">
        <f t="shared" si="5"/>
        <v>64</v>
      </c>
      <c r="W17" s="31"/>
      <c r="X17" s="30">
        <v>85.0</v>
      </c>
      <c r="Y17" s="31"/>
      <c r="Z17" s="32">
        <f t="shared" si="6"/>
        <v>34</v>
      </c>
      <c r="AA17" s="31"/>
      <c r="AB17" s="30">
        <v>76.0</v>
      </c>
      <c r="AC17" s="31"/>
      <c r="AD17" s="32">
        <f t="shared" si="7"/>
        <v>30.4</v>
      </c>
      <c r="AE17" s="31"/>
      <c r="AF17" s="31"/>
      <c r="AG17" s="31"/>
      <c r="AH17" s="32" t="str">
        <f t="shared" si="8"/>
        <v/>
      </c>
      <c r="AI17" s="33">
        <f t="shared" si="9"/>
        <v>258</v>
      </c>
      <c r="AJ17" s="33">
        <f t="shared" si="10"/>
        <v>43</v>
      </c>
      <c r="AK17" s="34">
        <f t="shared" si="11"/>
        <v>10</v>
      </c>
      <c r="AL17" s="35" t="str">
        <f t="shared" si="12"/>
        <v>D (Kurang)</v>
      </c>
    </row>
    <row r="18" ht="25.5" customHeight="1">
      <c r="A18" s="36">
        <v>12.0</v>
      </c>
      <c r="B18" s="37" t="s">
        <v>62</v>
      </c>
      <c r="C18" s="38">
        <v>85.0</v>
      </c>
      <c r="D18" s="38">
        <v>50.0</v>
      </c>
      <c r="E18" s="39"/>
      <c r="F18" s="32">
        <f t="shared" si="1"/>
        <v>54</v>
      </c>
      <c r="G18" s="39"/>
      <c r="H18" s="39"/>
      <c r="I18" s="39"/>
      <c r="J18" s="32" t="str">
        <f t="shared" si="2"/>
        <v/>
      </c>
      <c r="K18" s="39"/>
      <c r="L18" s="38">
        <v>75.0</v>
      </c>
      <c r="M18" s="39"/>
      <c r="N18" s="32">
        <f t="shared" si="3"/>
        <v>30</v>
      </c>
      <c r="O18" s="39"/>
      <c r="P18" s="38">
        <v>72.0</v>
      </c>
      <c r="Q18" s="39"/>
      <c r="R18" s="32">
        <f t="shared" si="4"/>
        <v>28.8</v>
      </c>
      <c r="S18" s="38">
        <v>75.0</v>
      </c>
      <c r="T18" s="38">
        <v>75.0</v>
      </c>
      <c r="U18" s="39"/>
      <c r="V18" s="32">
        <f t="shared" si="5"/>
        <v>60</v>
      </c>
      <c r="W18" s="39"/>
      <c r="X18" s="38">
        <v>85.0</v>
      </c>
      <c r="Y18" s="39"/>
      <c r="Z18" s="32">
        <f t="shared" si="6"/>
        <v>34</v>
      </c>
      <c r="AA18" s="39"/>
      <c r="AB18" s="38">
        <v>78.0</v>
      </c>
      <c r="AC18" s="39"/>
      <c r="AD18" s="32">
        <f t="shared" si="7"/>
        <v>31.2</v>
      </c>
      <c r="AE18" s="39"/>
      <c r="AF18" s="39"/>
      <c r="AG18" s="39"/>
      <c r="AH18" s="32" t="str">
        <f t="shared" si="8"/>
        <v/>
      </c>
      <c r="AI18" s="33">
        <f t="shared" si="9"/>
        <v>238</v>
      </c>
      <c r="AJ18" s="33">
        <f t="shared" si="10"/>
        <v>39.7</v>
      </c>
      <c r="AK18" s="34">
        <f t="shared" si="11"/>
        <v>15</v>
      </c>
      <c r="AL18" s="35" t="str">
        <f t="shared" si="12"/>
        <v>D (Kurang)</v>
      </c>
    </row>
    <row r="19" ht="25.5" customHeight="1">
      <c r="A19" s="28">
        <v>13.0</v>
      </c>
      <c r="B19" s="29" t="s">
        <v>63</v>
      </c>
      <c r="C19" s="30">
        <v>85.0</v>
      </c>
      <c r="D19" s="30">
        <v>95.0</v>
      </c>
      <c r="E19" s="31"/>
      <c r="F19" s="32">
        <f t="shared" si="1"/>
        <v>72</v>
      </c>
      <c r="G19" s="31"/>
      <c r="H19" s="31"/>
      <c r="I19" s="31"/>
      <c r="J19" s="32" t="str">
        <f t="shared" si="2"/>
        <v/>
      </c>
      <c r="K19" s="31"/>
      <c r="L19" s="30">
        <v>90.0</v>
      </c>
      <c r="M19" s="31"/>
      <c r="N19" s="32">
        <f t="shared" si="3"/>
        <v>36</v>
      </c>
      <c r="O19" s="31"/>
      <c r="P19" s="30">
        <v>80.0</v>
      </c>
      <c r="Q19" s="31"/>
      <c r="R19" s="32">
        <f t="shared" si="4"/>
        <v>32</v>
      </c>
      <c r="S19" s="30">
        <v>70.0</v>
      </c>
      <c r="T19" s="30">
        <v>78.0</v>
      </c>
      <c r="U19" s="31"/>
      <c r="V19" s="32">
        <f t="shared" si="5"/>
        <v>59.2</v>
      </c>
      <c r="W19" s="31"/>
      <c r="X19" s="30">
        <v>85.0</v>
      </c>
      <c r="Y19" s="31"/>
      <c r="Z19" s="32">
        <f t="shared" si="6"/>
        <v>34</v>
      </c>
      <c r="AA19" s="31"/>
      <c r="AB19" s="30">
        <v>95.0</v>
      </c>
      <c r="AC19" s="31"/>
      <c r="AD19" s="32">
        <f t="shared" si="7"/>
        <v>38</v>
      </c>
      <c r="AE19" s="31"/>
      <c r="AF19" s="31"/>
      <c r="AG19" s="31"/>
      <c r="AH19" s="32" t="str">
        <f t="shared" si="8"/>
        <v/>
      </c>
      <c r="AI19" s="33">
        <f t="shared" si="9"/>
        <v>271.2</v>
      </c>
      <c r="AJ19" s="33">
        <f t="shared" si="10"/>
        <v>45.2</v>
      </c>
      <c r="AK19" s="34">
        <f t="shared" si="11"/>
        <v>6</v>
      </c>
      <c r="AL19" s="35" t="str">
        <f t="shared" si="12"/>
        <v>D (Kurang)</v>
      </c>
    </row>
    <row r="20" ht="25.5" customHeight="1">
      <c r="A20" s="36">
        <v>14.0</v>
      </c>
      <c r="B20" s="37" t="s">
        <v>64</v>
      </c>
      <c r="C20" s="38">
        <v>85.0</v>
      </c>
      <c r="D20" s="38">
        <v>73.0</v>
      </c>
      <c r="E20" s="39"/>
      <c r="F20" s="32">
        <f t="shared" si="1"/>
        <v>63.2</v>
      </c>
      <c r="G20" s="39"/>
      <c r="H20" s="39"/>
      <c r="I20" s="39"/>
      <c r="J20" s="32" t="str">
        <f t="shared" si="2"/>
        <v/>
      </c>
      <c r="K20" s="39"/>
      <c r="L20" s="38">
        <v>85.0</v>
      </c>
      <c r="M20" s="39"/>
      <c r="N20" s="32">
        <f t="shared" si="3"/>
        <v>34</v>
      </c>
      <c r="O20" s="39"/>
      <c r="P20" s="38">
        <v>70.0</v>
      </c>
      <c r="Q20" s="39"/>
      <c r="R20" s="32">
        <f t="shared" si="4"/>
        <v>28</v>
      </c>
      <c r="S20" s="38">
        <v>75.0</v>
      </c>
      <c r="T20" s="38">
        <v>90.0</v>
      </c>
      <c r="U20" s="39"/>
      <c r="V20" s="32">
        <f t="shared" si="5"/>
        <v>66</v>
      </c>
      <c r="W20" s="39"/>
      <c r="X20" s="38">
        <v>84.0</v>
      </c>
      <c r="Y20" s="39"/>
      <c r="Z20" s="32">
        <f t="shared" si="6"/>
        <v>33.6</v>
      </c>
      <c r="AA20" s="39"/>
      <c r="AB20" s="38">
        <v>80.0</v>
      </c>
      <c r="AC20" s="39"/>
      <c r="AD20" s="32">
        <f t="shared" si="7"/>
        <v>32</v>
      </c>
      <c r="AE20" s="39"/>
      <c r="AF20" s="39"/>
      <c r="AG20" s="39"/>
      <c r="AH20" s="32" t="str">
        <f t="shared" si="8"/>
        <v/>
      </c>
      <c r="AI20" s="33">
        <f t="shared" si="9"/>
        <v>256.8</v>
      </c>
      <c r="AJ20" s="33">
        <f t="shared" si="10"/>
        <v>42.8</v>
      </c>
      <c r="AK20" s="34">
        <f t="shared" si="11"/>
        <v>11</v>
      </c>
      <c r="AL20" s="35" t="str">
        <f t="shared" si="12"/>
        <v>D (Kurang)</v>
      </c>
    </row>
    <row r="21" ht="25.5" customHeight="1">
      <c r="A21" s="28">
        <v>15.0</v>
      </c>
      <c r="B21" s="29" t="s">
        <v>65</v>
      </c>
      <c r="C21" s="30">
        <v>85.0</v>
      </c>
      <c r="D21" s="30">
        <v>73.0</v>
      </c>
      <c r="E21" s="31"/>
      <c r="F21" s="32">
        <f t="shared" si="1"/>
        <v>63.2</v>
      </c>
      <c r="G21" s="31"/>
      <c r="H21" s="31"/>
      <c r="I21" s="31"/>
      <c r="J21" s="32" t="str">
        <f t="shared" si="2"/>
        <v/>
      </c>
      <c r="K21" s="31"/>
      <c r="L21" s="30">
        <v>80.0</v>
      </c>
      <c r="M21" s="31"/>
      <c r="N21" s="32">
        <f t="shared" si="3"/>
        <v>32</v>
      </c>
      <c r="O21" s="31"/>
      <c r="P21" s="30">
        <v>79.0</v>
      </c>
      <c r="Q21" s="31"/>
      <c r="R21" s="32">
        <f t="shared" si="4"/>
        <v>31.6</v>
      </c>
      <c r="S21" s="30">
        <v>70.0</v>
      </c>
      <c r="T21" s="30">
        <v>65.0</v>
      </c>
      <c r="U21" s="31"/>
      <c r="V21" s="32">
        <f t="shared" si="5"/>
        <v>54</v>
      </c>
      <c r="W21" s="31"/>
      <c r="X21" s="30">
        <v>83.0</v>
      </c>
      <c r="Y21" s="31"/>
      <c r="Z21" s="32">
        <f t="shared" si="6"/>
        <v>33.2</v>
      </c>
      <c r="AA21" s="31"/>
      <c r="AB21" s="30">
        <v>85.0</v>
      </c>
      <c r="AC21" s="31"/>
      <c r="AD21" s="32">
        <f t="shared" si="7"/>
        <v>34</v>
      </c>
      <c r="AE21" s="31"/>
      <c r="AF21" s="31"/>
      <c r="AG21" s="31"/>
      <c r="AH21" s="32" t="str">
        <f t="shared" si="8"/>
        <v/>
      </c>
      <c r="AI21" s="33">
        <f t="shared" si="9"/>
        <v>248</v>
      </c>
      <c r="AJ21" s="33">
        <f t="shared" si="10"/>
        <v>41.3</v>
      </c>
      <c r="AK21" s="34">
        <f t="shared" si="11"/>
        <v>13</v>
      </c>
      <c r="AL21" s="35" t="str">
        <f t="shared" si="12"/>
        <v>D (Kurang)</v>
      </c>
    </row>
    <row r="22" ht="25.5" customHeight="1">
      <c r="A22" s="36">
        <v>16.0</v>
      </c>
      <c r="B22" s="37" t="s">
        <v>66</v>
      </c>
      <c r="C22" s="38">
        <v>85.0</v>
      </c>
      <c r="D22" s="38">
        <v>55.0</v>
      </c>
      <c r="E22" s="39"/>
      <c r="F22" s="32">
        <f t="shared" si="1"/>
        <v>56</v>
      </c>
      <c r="G22" s="39"/>
      <c r="H22" s="39"/>
      <c r="I22" s="39"/>
      <c r="J22" s="32" t="str">
        <f t="shared" si="2"/>
        <v/>
      </c>
      <c r="K22" s="39"/>
      <c r="L22" s="38">
        <v>85.0</v>
      </c>
      <c r="M22" s="39"/>
      <c r="N22" s="32">
        <f t="shared" si="3"/>
        <v>34</v>
      </c>
      <c r="O22" s="39"/>
      <c r="P22" s="38">
        <v>76.0</v>
      </c>
      <c r="Q22" s="39"/>
      <c r="R22" s="32">
        <f t="shared" si="4"/>
        <v>30.4</v>
      </c>
      <c r="S22" s="38">
        <v>75.0</v>
      </c>
      <c r="T22" s="38">
        <v>85.0</v>
      </c>
      <c r="U22" s="39"/>
      <c r="V22" s="32">
        <f t="shared" si="5"/>
        <v>64</v>
      </c>
      <c r="W22" s="39"/>
      <c r="X22" s="38">
        <v>80.0</v>
      </c>
      <c r="Y22" s="39"/>
      <c r="Z22" s="32">
        <f t="shared" si="6"/>
        <v>32</v>
      </c>
      <c r="AA22" s="39"/>
      <c r="AB22" s="38">
        <v>78.0</v>
      </c>
      <c r="AC22" s="39"/>
      <c r="AD22" s="32">
        <f t="shared" si="7"/>
        <v>31.2</v>
      </c>
      <c r="AE22" s="39"/>
      <c r="AF22" s="39"/>
      <c r="AG22" s="39"/>
      <c r="AH22" s="32" t="str">
        <f t="shared" si="8"/>
        <v/>
      </c>
      <c r="AI22" s="33">
        <f t="shared" si="9"/>
        <v>247.6</v>
      </c>
      <c r="AJ22" s="33">
        <f t="shared" si="10"/>
        <v>41.3</v>
      </c>
      <c r="AK22" s="34">
        <f t="shared" si="11"/>
        <v>13</v>
      </c>
      <c r="AL22" s="35" t="str">
        <f t="shared" si="12"/>
        <v>D (Kurang)</v>
      </c>
    </row>
    <row r="23" ht="25.5" customHeight="1">
      <c r="A23" s="28">
        <v>17.0</v>
      </c>
      <c r="B23" s="29" t="s">
        <v>67</v>
      </c>
      <c r="C23" s="30">
        <v>85.0</v>
      </c>
      <c r="D23" s="30">
        <v>73.0</v>
      </c>
      <c r="E23" s="31"/>
      <c r="F23" s="32">
        <f t="shared" si="1"/>
        <v>63.2</v>
      </c>
      <c r="G23" s="31"/>
      <c r="H23" s="31"/>
      <c r="I23" s="31"/>
      <c r="J23" s="32" t="str">
        <f t="shared" si="2"/>
        <v/>
      </c>
      <c r="K23" s="31"/>
      <c r="L23" s="30">
        <v>85.0</v>
      </c>
      <c r="M23" s="31"/>
      <c r="N23" s="32">
        <f t="shared" si="3"/>
        <v>34</v>
      </c>
      <c r="O23" s="31"/>
      <c r="P23" s="30">
        <v>82.0</v>
      </c>
      <c r="Q23" s="31"/>
      <c r="R23" s="32">
        <f t="shared" si="4"/>
        <v>32.8</v>
      </c>
      <c r="S23" s="30">
        <v>75.0</v>
      </c>
      <c r="T23" s="30">
        <v>75.0</v>
      </c>
      <c r="U23" s="31"/>
      <c r="V23" s="32">
        <f t="shared" si="5"/>
        <v>60</v>
      </c>
      <c r="W23" s="31"/>
      <c r="X23" s="30">
        <v>85.0</v>
      </c>
      <c r="Y23" s="31"/>
      <c r="Z23" s="32">
        <f t="shared" si="6"/>
        <v>34</v>
      </c>
      <c r="AA23" s="31"/>
      <c r="AB23" s="30">
        <v>92.0</v>
      </c>
      <c r="AC23" s="31"/>
      <c r="AD23" s="32">
        <f t="shared" si="7"/>
        <v>36.8</v>
      </c>
      <c r="AE23" s="31"/>
      <c r="AF23" s="31"/>
      <c r="AG23" s="31"/>
      <c r="AH23" s="32" t="str">
        <f t="shared" si="8"/>
        <v/>
      </c>
      <c r="AI23" s="33">
        <f t="shared" si="9"/>
        <v>260.8</v>
      </c>
      <c r="AJ23" s="33">
        <f t="shared" si="10"/>
        <v>43.5</v>
      </c>
      <c r="AK23" s="34">
        <f t="shared" si="11"/>
        <v>7</v>
      </c>
      <c r="AL23" s="35" t="str">
        <f t="shared" si="12"/>
        <v>D (Kurang)</v>
      </c>
    </row>
    <row r="24" ht="21.75" customHeight="1">
      <c r="A24" s="40" t="s">
        <v>44</v>
      </c>
      <c r="B24" s="41"/>
      <c r="C24" s="42">
        <f t="shared" ref="C24:AJ24" si="13">IFERROR(ROUND(AVERAGE(C7:C23), 1), "")</f>
        <v>87.4</v>
      </c>
      <c r="D24" s="42">
        <f t="shared" si="13"/>
        <v>70.8</v>
      </c>
      <c r="E24" s="42" t="str">
        <f t="shared" si="13"/>
        <v/>
      </c>
      <c r="F24" s="43">
        <f t="shared" si="13"/>
        <v>63.2</v>
      </c>
      <c r="G24" s="42" t="str">
        <f t="shared" si="13"/>
        <v/>
      </c>
      <c r="H24" s="42" t="str">
        <f t="shared" si="13"/>
        <v/>
      </c>
      <c r="I24" s="42" t="str">
        <f t="shared" si="13"/>
        <v/>
      </c>
      <c r="J24" s="43" t="str">
        <f t="shared" si="13"/>
        <v/>
      </c>
      <c r="K24" s="42" t="str">
        <f t="shared" si="13"/>
        <v/>
      </c>
      <c r="L24" s="42">
        <f t="shared" si="13"/>
        <v>82.1</v>
      </c>
      <c r="M24" s="42" t="str">
        <f t="shared" si="13"/>
        <v/>
      </c>
      <c r="N24" s="43">
        <f t="shared" si="13"/>
        <v>32.8</v>
      </c>
      <c r="O24" s="42" t="str">
        <f t="shared" si="13"/>
        <v/>
      </c>
      <c r="P24" s="42">
        <f t="shared" si="13"/>
        <v>79.7</v>
      </c>
      <c r="Q24" s="42" t="str">
        <f t="shared" si="13"/>
        <v/>
      </c>
      <c r="R24" s="43">
        <f t="shared" si="13"/>
        <v>31.9</v>
      </c>
      <c r="S24" s="42">
        <f t="shared" si="13"/>
        <v>74.7</v>
      </c>
      <c r="T24" s="42">
        <f t="shared" si="13"/>
        <v>79.8</v>
      </c>
      <c r="U24" s="42" t="str">
        <f t="shared" si="13"/>
        <v/>
      </c>
      <c r="V24" s="43">
        <f t="shared" si="13"/>
        <v>61.8</v>
      </c>
      <c r="W24" s="42" t="str">
        <f t="shared" si="13"/>
        <v/>
      </c>
      <c r="X24" s="42">
        <f t="shared" si="13"/>
        <v>82.8</v>
      </c>
      <c r="Y24" s="42" t="str">
        <f t="shared" si="13"/>
        <v/>
      </c>
      <c r="Z24" s="43">
        <f t="shared" si="13"/>
        <v>33.1</v>
      </c>
      <c r="AA24" s="42" t="str">
        <f t="shared" si="13"/>
        <v/>
      </c>
      <c r="AB24" s="42">
        <f t="shared" si="13"/>
        <v>88.1</v>
      </c>
      <c r="AC24" s="42" t="str">
        <f t="shared" si="13"/>
        <v/>
      </c>
      <c r="AD24" s="43">
        <f t="shared" si="13"/>
        <v>35.2</v>
      </c>
      <c r="AE24" s="42" t="str">
        <f t="shared" si="13"/>
        <v/>
      </c>
      <c r="AF24" s="42" t="str">
        <f t="shared" si="13"/>
        <v/>
      </c>
      <c r="AG24" s="42" t="str">
        <f t="shared" si="13"/>
        <v/>
      </c>
      <c r="AH24" s="43" t="str">
        <f t="shared" si="13"/>
        <v/>
      </c>
      <c r="AI24" s="42">
        <f t="shared" si="13"/>
        <v>258.1</v>
      </c>
      <c r="AJ24" s="42">
        <f t="shared" si="13"/>
        <v>43</v>
      </c>
      <c r="AK24" s="42" t="s">
        <v>45</v>
      </c>
      <c r="AL24" s="43" t="s">
        <v>45</v>
      </c>
    </row>
    <row r="25" ht="21.75" customHeight="1">
      <c r="A25" s="44" t="s">
        <v>46</v>
      </c>
      <c r="B25" s="45"/>
      <c r="C25" s="46">
        <f t="shared" ref="C25:AJ25" si="14">IFERROR(MAX(C7:C23), "")</f>
        <v>95</v>
      </c>
      <c r="D25" s="46">
        <f t="shared" si="14"/>
        <v>95</v>
      </c>
      <c r="E25" s="46">
        <f t="shared" si="14"/>
        <v>0</v>
      </c>
      <c r="F25" s="47">
        <f t="shared" si="14"/>
        <v>76</v>
      </c>
      <c r="G25" s="46">
        <f t="shared" si="14"/>
        <v>0</v>
      </c>
      <c r="H25" s="46">
        <f t="shared" si="14"/>
        <v>0</v>
      </c>
      <c r="I25" s="46">
        <f t="shared" si="14"/>
        <v>0</v>
      </c>
      <c r="J25" s="47">
        <f t="shared" si="14"/>
        <v>0</v>
      </c>
      <c r="K25" s="46">
        <f t="shared" si="14"/>
        <v>0</v>
      </c>
      <c r="L25" s="46">
        <f t="shared" si="14"/>
        <v>90</v>
      </c>
      <c r="M25" s="46">
        <f t="shared" si="14"/>
        <v>0</v>
      </c>
      <c r="N25" s="47">
        <f t="shared" si="14"/>
        <v>36</v>
      </c>
      <c r="O25" s="46">
        <f t="shared" si="14"/>
        <v>0</v>
      </c>
      <c r="P25" s="46">
        <f t="shared" si="14"/>
        <v>100</v>
      </c>
      <c r="Q25" s="46">
        <f t="shared" si="14"/>
        <v>0</v>
      </c>
      <c r="R25" s="47">
        <f t="shared" si="14"/>
        <v>40</v>
      </c>
      <c r="S25" s="46">
        <f t="shared" si="14"/>
        <v>85</v>
      </c>
      <c r="T25" s="46">
        <f t="shared" si="14"/>
        <v>90</v>
      </c>
      <c r="U25" s="46">
        <f t="shared" si="14"/>
        <v>0</v>
      </c>
      <c r="V25" s="47">
        <f t="shared" si="14"/>
        <v>70</v>
      </c>
      <c r="W25" s="46">
        <f t="shared" si="14"/>
        <v>0</v>
      </c>
      <c r="X25" s="46">
        <f t="shared" si="14"/>
        <v>85</v>
      </c>
      <c r="Y25" s="46">
        <f t="shared" si="14"/>
        <v>0</v>
      </c>
      <c r="Z25" s="47">
        <f t="shared" si="14"/>
        <v>34</v>
      </c>
      <c r="AA25" s="46">
        <f t="shared" si="14"/>
        <v>0</v>
      </c>
      <c r="AB25" s="46">
        <f t="shared" si="14"/>
        <v>98</v>
      </c>
      <c r="AC25" s="46">
        <f t="shared" si="14"/>
        <v>0</v>
      </c>
      <c r="AD25" s="47">
        <f t="shared" si="14"/>
        <v>39.2</v>
      </c>
      <c r="AE25" s="46">
        <f t="shared" si="14"/>
        <v>0</v>
      </c>
      <c r="AF25" s="46">
        <f t="shared" si="14"/>
        <v>0</v>
      </c>
      <c r="AG25" s="46">
        <f t="shared" si="14"/>
        <v>0</v>
      </c>
      <c r="AH25" s="47">
        <f t="shared" si="14"/>
        <v>0</v>
      </c>
      <c r="AI25" s="46">
        <f t="shared" si="14"/>
        <v>284.4</v>
      </c>
      <c r="AJ25" s="46">
        <f t="shared" si="14"/>
        <v>47.4</v>
      </c>
      <c r="AK25" s="46" t="s">
        <v>45</v>
      </c>
      <c r="AL25" s="47" t="s">
        <v>45</v>
      </c>
    </row>
    <row r="26" ht="21.75" customHeight="1">
      <c r="A26" s="48" t="s">
        <v>47</v>
      </c>
      <c r="B26" s="49"/>
      <c r="C26" s="50">
        <f t="shared" ref="C26:AJ26" si="15">IFERROR(MIN(C7:C23), "")</f>
        <v>85</v>
      </c>
      <c r="D26" s="50">
        <f t="shared" si="15"/>
        <v>40</v>
      </c>
      <c r="E26" s="50">
        <f t="shared" si="15"/>
        <v>0</v>
      </c>
      <c r="F26" s="51">
        <f t="shared" si="15"/>
        <v>50</v>
      </c>
      <c r="G26" s="50">
        <f t="shared" si="15"/>
        <v>0</v>
      </c>
      <c r="H26" s="50">
        <f t="shared" si="15"/>
        <v>0</v>
      </c>
      <c r="I26" s="50">
        <f t="shared" si="15"/>
        <v>0</v>
      </c>
      <c r="J26" s="51">
        <f t="shared" si="15"/>
        <v>0</v>
      </c>
      <c r="K26" s="50">
        <f t="shared" si="15"/>
        <v>0</v>
      </c>
      <c r="L26" s="50">
        <f t="shared" si="15"/>
        <v>50</v>
      </c>
      <c r="M26" s="50">
        <f t="shared" si="15"/>
        <v>0</v>
      </c>
      <c r="N26" s="51">
        <f t="shared" si="15"/>
        <v>20</v>
      </c>
      <c r="O26" s="50">
        <f t="shared" si="15"/>
        <v>0</v>
      </c>
      <c r="P26" s="50">
        <f t="shared" si="15"/>
        <v>51</v>
      </c>
      <c r="Q26" s="50">
        <f t="shared" si="15"/>
        <v>0</v>
      </c>
      <c r="R26" s="51">
        <f t="shared" si="15"/>
        <v>20.4</v>
      </c>
      <c r="S26" s="50">
        <f t="shared" si="15"/>
        <v>65</v>
      </c>
      <c r="T26" s="50">
        <f t="shared" si="15"/>
        <v>65</v>
      </c>
      <c r="U26" s="50">
        <f t="shared" si="15"/>
        <v>0</v>
      </c>
      <c r="V26" s="51">
        <f t="shared" si="15"/>
        <v>52</v>
      </c>
      <c r="W26" s="50">
        <f t="shared" si="15"/>
        <v>0</v>
      </c>
      <c r="X26" s="50">
        <f t="shared" si="15"/>
        <v>80</v>
      </c>
      <c r="Y26" s="50">
        <f t="shared" si="15"/>
        <v>0</v>
      </c>
      <c r="Z26" s="51">
        <f t="shared" si="15"/>
        <v>32</v>
      </c>
      <c r="AA26" s="50">
        <f t="shared" si="15"/>
        <v>0</v>
      </c>
      <c r="AB26" s="50">
        <f t="shared" si="15"/>
        <v>75</v>
      </c>
      <c r="AC26" s="50">
        <f t="shared" si="15"/>
        <v>0</v>
      </c>
      <c r="AD26" s="51">
        <f t="shared" si="15"/>
        <v>30</v>
      </c>
      <c r="AE26" s="50">
        <f t="shared" si="15"/>
        <v>0</v>
      </c>
      <c r="AF26" s="50">
        <f t="shared" si="15"/>
        <v>0</v>
      </c>
      <c r="AG26" s="50">
        <f t="shared" si="15"/>
        <v>0</v>
      </c>
      <c r="AH26" s="51">
        <f t="shared" si="15"/>
        <v>0</v>
      </c>
      <c r="AI26" s="50">
        <f t="shared" si="15"/>
        <v>205.2</v>
      </c>
      <c r="AJ26" s="50">
        <f t="shared" si="15"/>
        <v>34.2</v>
      </c>
      <c r="AK26" s="50" t="s">
        <v>45</v>
      </c>
      <c r="AL26" s="51" t="s">
        <v>45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5:J5"/>
    <mergeCell ref="K5:N5"/>
    <mergeCell ref="A24:B24"/>
    <mergeCell ref="A25:B25"/>
    <mergeCell ref="A26:B26"/>
    <mergeCell ref="O5:R5"/>
    <mergeCell ref="S5:V5"/>
    <mergeCell ref="W5:Z5"/>
    <mergeCell ref="AA5:AD5"/>
    <mergeCell ref="AE5:AH5"/>
    <mergeCell ref="AI5:AL5"/>
    <mergeCell ref="A1:AL1"/>
    <mergeCell ref="A2:AL2"/>
    <mergeCell ref="A3:B3"/>
    <mergeCell ref="C3:AH3"/>
    <mergeCell ref="AI3:AL3"/>
    <mergeCell ref="A5:B5"/>
    <mergeCell ref="C5:F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86"/>
    <col customWidth="1" min="2" max="2" width="22.14"/>
    <col customWidth="1" min="3" max="5" width="5.43"/>
    <col customWidth="1" min="6" max="6" width="6.86"/>
    <col customWidth="1" min="7" max="9" width="5.43"/>
    <col customWidth="1" min="10" max="10" width="6.86"/>
    <col customWidth="1" min="11" max="13" width="5.43"/>
    <col customWidth="1" min="14" max="14" width="6.86"/>
    <col customWidth="1" min="15" max="17" width="5.43"/>
    <col customWidth="1" min="18" max="18" width="6.86"/>
    <col customWidth="1" min="19" max="21" width="5.43"/>
    <col customWidth="1" min="22" max="22" width="6.86"/>
    <col customWidth="1" min="23" max="25" width="5.43"/>
    <col customWidth="1" min="26" max="26" width="6.86"/>
    <col customWidth="1" min="27" max="29" width="5.43"/>
    <col customWidth="1" min="30" max="30" width="6.86"/>
    <col customWidth="1" min="31" max="33" width="5.43"/>
    <col customWidth="1" min="34" max="34" width="6.86"/>
    <col customWidth="1" min="35" max="36" width="7.43"/>
    <col customWidth="1" min="37" max="37" width="6.0"/>
    <col customWidth="1" min="38" max="38" width="13.0"/>
  </cols>
  <sheetData>
    <row r="1" ht="27.75" customHeight="1">
      <c r="A1" s="1" t="s">
        <v>68</v>
      </c>
    </row>
    <row r="2" ht="18.0" customHeight="1">
      <c r="A2" s="2" t="s">
        <v>69</v>
      </c>
    </row>
    <row r="3" ht="18.0" customHeight="1">
      <c r="A3" s="3" t="s">
        <v>70</v>
      </c>
      <c r="C3" s="4" t="s">
        <v>3</v>
      </c>
      <c r="AI3" s="5" t="str">
        <f>HYPERLINK("#'Dashboard &amp; Panduan'!A1", "⬅ Kembali ke Menu")</f>
        <v>⬅ Kembali ke Menu</v>
      </c>
    </row>
    <row r="4" ht="6.0" customHeight="1"/>
    <row r="5" ht="24.0" customHeight="1">
      <c r="A5" s="6" t="s">
        <v>4</v>
      </c>
      <c r="B5" s="7"/>
      <c r="C5" s="8" t="s">
        <v>5</v>
      </c>
      <c r="D5" s="9"/>
      <c r="E5" s="9"/>
      <c r="F5" s="7"/>
      <c r="G5" s="10" t="s">
        <v>6</v>
      </c>
      <c r="H5" s="9"/>
      <c r="I5" s="9"/>
      <c r="J5" s="7"/>
      <c r="K5" s="11" t="s">
        <v>7</v>
      </c>
      <c r="L5" s="9"/>
      <c r="M5" s="9"/>
      <c r="N5" s="7"/>
      <c r="O5" s="12" t="s">
        <v>8</v>
      </c>
      <c r="P5" s="9"/>
      <c r="Q5" s="9"/>
      <c r="R5" s="7"/>
      <c r="S5" s="13" t="s">
        <v>9</v>
      </c>
      <c r="T5" s="9"/>
      <c r="U5" s="9"/>
      <c r="V5" s="7"/>
      <c r="W5" s="14" t="s">
        <v>10</v>
      </c>
      <c r="X5" s="9"/>
      <c r="Y5" s="9"/>
      <c r="Z5" s="7"/>
      <c r="AA5" s="15" t="s">
        <v>11</v>
      </c>
      <c r="AB5" s="9"/>
      <c r="AC5" s="9"/>
      <c r="AD5" s="7"/>
      <c r="AE5" s="16" t="s">
        <v>12</v>
      </c>
      <c r="AF5" s="9"/>
      <c r="AG5" s="9"/>
      <c r="AH5" s="7"/>
      <c r="AI5" s="17" t="s">
        <v>13</v>
      </c>
      <c r="AJ5" s="9"/>
      <c r="AK5" s="9"/>
      <c r="AL5" s="7"/>
    </row>
    <row r="6" ht="19.5" customHeight="1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20" t="s">
        <v>19</v>
      </c>
      <c r="G6" s="21" t="s">
        <v>16</v>
      </c>
      <c r="H6" s="21" t="s">
        <v>17</v>
      </c>
      <c r="I6" s="21" t="s">
        <v>18</v>
      </c>
      <c r="J6" s="20" t="s">
        <v>19</v>
      </c>
      <c r="K6" s="22" t="s">
        <v>16</v>
      </c>
      <c r="L6" s="22" t="s">
        <v>17</v>
      </c>
      <c r="M6" s="22" t="s">
        <v>18</v>
      </c>
      <c r="N6" s="20" t="s">
        <v>19</v>
      </c>
      <c r="O6" s="23" t="s">
        <v>16</v>
      </c>
      <c r="P6" s="23" t="s">
        <v>17</v>
      </c>
      <c r="Q6" s="23" t="s">
        <v>18</v>
      </c>
      <c r="R6" s="20" t="s">
        <v>19</v>
      </c>
      <c r="S6" s="24" t="s">
        <v>16</v>
      </c>
      <c r="T6" s="24" t="s">
        <v>17</v>
      </c>
      <c r="U6" s="24" t="s">
        <v>18</v>
      </c>
      <c r="V6" s="20" t="s">
        <v>19</v>
      </c>
      <c r="W6" s="25" t="s">
        <v>16</v>
      </c>
      <c r="X6" s="25" t="s">
        <v>17</v>
      </c>
      <c r="Y6" s="25" t="s">
        <v>18</v>
      </c>
      <c r="Z6" s="20" t="s">
        <v>19</v>
      </c>
      <c r="AA6" s="18" t="s">
        <v>16</v>
      </c>
      <c r="AB6" s="18" t="s">
        <v>17</v>
      </c>
      <c r="AC6" s="18" t="s">
        <v>18</v>
      </c>
      <c r="AD6" s="20" t="s">
        <v>19</v>
      </c>
      <c r="AE6" s="26" t="s">
        <v>16</v>
      </c>
      <c r="AF6" s="26" t="s">
        <v>17</v>
      </c>
      <c r="AG6" s="26" t="s">
        <v>18</v>
      </c>
      <c r="AH6" s="20" t="s">
        <v>19</v>
      </c>
      <c r="AI6" s="27" t="s">
        <v>20</v>
      </c>
      <c r="AJ6" s="27" t="s">
        <v>21</v>
      </c>
      <c r="AK6" s="27" t="s">
        <v>22</v>
      </c>
      <c r="AL6" s="27" t="s">
        <v>23</v>
      </c>
    </row>
    <row r="7" ht="25.5" customHeight="1">
      <c r="A7" s="28">
        <v>1.0</v>
      </c>
      <c r="B7" s="29" t="s">
        <v>71</v>
      </c>
      <c r="C7" s="52">
        <v>85.0</v>
      </c>
      <c r="D7" s="30">
        <v>70.0</v>
      </c>
      <c r="E7" s="31"/>
      <c r="F7" s="32">
        <f t="shared" ref="F7:F31" si="1">IF(COUNT(C7:E7)=0, "", ROUND(C7*0.4 + D7*0.4 + E7*0.2, 1))</f>
        <v>62</v>
      </c>
      <c r="G7" s="30">
        <v>88.0</v>
      </c>
      <c r="H7" s="30">
        <v>88.0</v>
      </c>
      <c r="I7" s="31"/>
      <c r="J7" s="32">
        <f t="shared" ref="J7:J31" si="2">IF(COUNT(G7:I7)=0, "", ROUND(G7*0.4 + H7*0.4 + I7*0.2, 1))</f>
        <v>70.4</v>
      </c>
      <c r="K7" s="31"/>
      <c r="L7" s="30">
        <v>80.0</v>
      </c>
      <c r="M7" s="31"/>
      <c r="N7" s="32">
        <f t="shared" ref="N7:N31" si="3">IF(COUNT(K7:M7)=0, "", ROUND(K7*0.4 + L7*0.4 + M7*0.2, 1))</f>
        <v>32</v>
      </c>
      <c r="O7" s="31"/>
      <c r="P7" s="30">
        <v>95.0</v>
      </c>
      <c r="Q7" s="31"/>
      <c r="R7" s="32">
        <f t="shared" ref="R7:R31" si="4">IF(COUNT(O7:Q7)=0, "", ROUND(O7*0.4 + P7*0.4 + Q7*0.2, 1))</f>
        <v>38</v>
      </c>
      <c r="S7" s="31"/>
      <c r="T7" s="31"/>
      <c r="U7" s="31"/>
      <c r="V7" s="32" t="str">
        <f t="shared" ref="V7:V31" si="5">IF(COUNT(S7:U7)=0, "", ROUND(S7*0.4 + T7*0.4 + U7*0.2, 1))</f>
        <v/>
      </c>
      <c r="W7" s="31"/>
      <c r="X7" s="53">
        <v>82.0</v>
      </c>
      <c r="Y7" s="31"/>
      <c r="Z7" s="32">
        <f t="shared" ref="Z7:Z31" si="6">IF(COUNT(W7:Y7)=0, "", ROUND(W7*0.4 + X7*0.4 + Y7*0.2, 1))</f>
        <v>32.8</v>
      </c>
      <c r="AA7" s="31"/>
      <c r="AB7" s="30">
        <v>90.0</v>
      </c>
      <c r="AC7" s="31"/>
      <c r="AD7" s="32">
        <f t="shared" ref="AD7:AD31" si="7">IF(COUNT(AA7:AC7)=0, "", ROUND(AA7*0.4 + AB7*0.4 + AC7*0.2, 1))</f>
        <v>36</v>
      </c>
      <c r="AE7" s="31"/>
      <c r="AF7" s="31"/>
      <c r="AG7" s="31"/>
      <c r="AH7" s="32" t="str">
        <f t="shared" ref="AH7:AH31" si="8">IF(COUNT(AE7:AG7)=0, "", ROUND(AE7*0.4 + AF7*0.4 + AG7*0.2, 1))</f>
        <v/>
      </c>
      <c r="AI7" s="33">
        <f t="shared" ref="AI7:AI31" si="9">IFERROR(SUM(F7,J7,N7,R7,V7,Z7,AD7,AH7), "")</f>
        <v>271.2</v>
      </c>
      <c r="AJ7" s="33">
        <f t="shared" ref="AJ7:AJ31" si="10">IFERROR(ROUND(AVERAGE(F7,J7,N7,R7,V7,Z7,AD7,AH7), 1), "")</f>
        <v>45.2</v>
      </c>
      <c r="AK7" s="34">
        <f t="shared" ref="AK7:AK31" si="11">IF(AJ7="", "", RANK(AJ7, $AJ$7:$AJ$31))</f>
        <v>3</v>
      </c>
      <c r="AL7" s="35" t="str">
        <f t="shared" ref="AL7:AL31" si="12">IF(AJ7="", "", IF(AJ7&gt;=90, "A (Sangat Baik)", IF(AJ7&gt;=80, "B (Baik)", IF(AJ7&gt;=70, "C (Cukup)", "D (Kurang)"))))</f>
        <v>D (Kurang)</v>
      </c>
    </row>
    <row r="8" ht="25.5" customHeight="1">
      <c r="A8" s="36">
        <v>2.0</v>
      </c>
      <c r="B8" s="37" t="s">
        <v>72</v>
      </c>
      <c r="C8" s="38">
        <v>85.0</v>
      </c>
      <c r="D8" s="38">
        <v>60.0</v>
      </c>
      <c r="E8" s="39"/>
      <c r="F8" s="32">
        <f t="shared" si="1"/>
        <v>58</v>
      </c>
      <c r="G8" s="38">
        <v>79.0</v>
      </c>
      <c r="H8" s="38">
        <v>84.0</v>
      </c>
      <c r="I8" s="39"/>
      <c r="J8" s="32">
        <f t="shared" si="2"/>
        <v>65.2</v>
      </c>
      <c r="K8" s="39"/>
      <c r="L8" s="38">
        <v>70.0</v>
      </c>
      <c r="M8" s="39"/>
      <c r="N8" s="32">
        <f t="shared" si="3"/>
        <v>28</v>
      </c>
      <c r="O8" s="39"/>
      <c r="P8" s="38">
        <v>94.0</v>
      </c>
      <c r="Q8" s="39"/>
      <c r="R8" s="32">
        <f t="shared" si="4"/>
        <v>37.6</v>
      </c>
      <c r="S8" s="39"/>
      <c r="T8" s="39"/>
      <c r="U8" s="39"/>
      <c r="V8" s="32" t="str">
        <f t="shared" si="5"/>
        <v/>
      </c>
      <c r="W8" s="39"/>
      <c r="X8" s="54">
        <v>81.0</v>
      </c>
      <c r="Y8" s="39"/>
      <c r="Z8" s="32">
        <f t="shared" si="6"/>
        <v>32.4</v>
      </c>
      <c r="AA8" s="39"/>
      <c r="AB8" s="38">
        <v>98.0</v>
      </c>
      <c r="AC8" s="39"/>
      <c r="AD8" s="32">
        <f t="shared" si="7"/>
        <v>39.2</v>
      </c>
      <c r="AE8" s="39"/>
      <c r="AF8" s="39"/>
      <c r="AG8" s="39"/>
      <c r="AH8" s="32" t="str">
        <f t="shared" si="8"/>
        <v/>
      </c>
      <c r="AI8" s="33">
        <f t="shared" si="9"/>
        <v>260.4</v>
      </c>
      <c r="AJ8" s="33">
        <f t="shared" si="10"/>
        <v>43.4</v>
      </c>
      <c r="AK8" s="34">
        <f t="shared" si="11"/>
        <v>9</v>
      </c>
      <c r="AL8" s="35" t="str">
        <f t="shared" si="12"/>
        <v>D (Kurang)</v>
      </c>
    </row>
    <row r="9" ht="25.5" customHeight="1">
      <c r="A9" s="28">
        <v>3.0</v>
      </c>
      <c r="B9" s="29" t="s">
        <v>73</v>
      </c>
      <c r="C9" s="30">
        <v>85.0</v>
      </c>
      <c r="D9" s="30">
        <v>55.0</v>
      </c>
      <c r="E9" s="31"/>
      <c r="F9" s="32">
        <f t="shared" si="1"/>
        <v>56</v>
      </c>
      <c r="G9" s="30">
        <v>75.0</v>
      </c>
      <c r="H9" s="30">
        <v>75.0</v>
      </c>
      <c r="I9" s="31"/>
      <c r="J9" s="32">
        <f t="shared" si="2"/>
        <v>60</v>
      </c>
      <c r="K9" s="31"/>
      <c r="L9" s="30">
        <v>90.0</v>
      </c>
      <c r="M9" s="31"/>
      <c r="N9" s="32">
        <f t="shared" si="3"/>
        <v>36</v>
      </c>
      <c r="O9" s="31"/>
      <c r="P9" s="30">
        <v>82.0</v>
      </c>
      <c r="Q9" s="31"/>
      <c r="R9" s="32">
        <f t="shared" si="4"/>
        <v>32.8</v>
      </c>
      <c r="S9" s="31"/>
      <c r="T9" s="31"/>
      <c r="U9" s="31"/>
      <c r="V9" s="32" t="str">
        <f t="shared" si="5"/>
        <v/>
      </c>
      <c r="W9" s="31"/>
      <c r="X9" s="54">
        <v>80.0</v>
      </c>
      <c r="Y9" s="31"/>
      <c r="Z9" s="32">
        <f t="shared" si="6"/>
        <v>32</v>
      </c>
      <c r="AA9" s="31"/>
      <c r="AB9" s="30">
        <v>80.0</v>
      </c>
      <c r="AC9" s="31"/>
      <c r="AD9" s="32">
        <f t="shared" si="7"/>
        <v>32</v>
      </c>
      <c r="AE9" s="31"/>
      <c r="AF9" s="31"/>
      <c r="AG9" s="31"/>
      <c r="AH9" s="32" t="str">
        <f t="shared" si="8"/>
        <v/>
      </c>
      <c r="AI9" s="33">
        <f t="shared" si="9"/>
        <v>248.8</v>
      </c>
      <c r="AJ9" s="33">
        <f t="shared" si="10"/>
        <v>41.5</v>
      </c>
      <c r="AK9" s="34">
        <f t="shared" si="11"/>
        <v>21</v>
      </c>
      <c r="AL9" s="35" t="str">
        <f t="shared" si="12"/>
        <v>D (Kurang)</v>
      </c>
    </row>
    <row r="10" ht="25.5" customHeight="1">
      <c r="A10" s="36">
        <v>4.0</v>
      </c>
      <c r="B10" s="37" t="s">
        <v>74</v>
      </c>
      <c r="C10" s="38">
        <v>85.0</v>
      </c>
      <c r="D10" s="38">
        <v>70.0</v>
      </c>
      <c r="E10" s="39"/>
      <c r="F10" s="32">
        <f t="shared" si="1"/>
        <v>62</v>
      </c>
      <c r="G10" s="38">
        <v>80.0</v>
      </c>
      <c r="H10" s="38">
        <v>84.0</v>
      </c>
      <c r="I10" s="39"/>
      <c r="J10" s="32">
        <f t="shared" si="2"/>
        <v>65.6</v>
      </c>
      <c r="K10" s="39"/>
      <c r="L10" s="38">
        <v>80.0</v>
      </c>
      <c r="M10" s="39"/>
      <c r="N10" s="32">
        <f t="shared" si="3"/>
        <v>32</v>
      </c>
      <c r="O10" s="39"/>
      <c r="P10" s="38">
        <v>90.0</v>
      </c>
      <c r="Q10" s="39"/>
      <c r="R10" s="32">
        <f t="shared" si="4"/>
        <v>36</v>
      </c>
      <c r="S10" s="39"/>
      <c r="T10" s="39"/>
      <c r="U10" s="39"/>
      <c r="V10" s="32" t="str">
        <f t="shared" si="5"/>
        <v/>
      </c>
      <c r="W10" s="39"/>
      <c r="X10" s="54">
        <v>83.0</v>
      </c>
      <c r="Y10" s="39"/>
      <c r="Z10" s="32">
        <f t="shared" si="6"/>
        <v>33.2</v>
      </c>
      <c r="AA10" s="39"/>
      <c r="AB10" s="38">
        <v>85.0</v>
      </c>
      <c r="AC10" s="39"/>
      <c r="AD10" s="32">
        <f t="shared" si="7"/>
        <v>34</v>
      </c>
      <c r="AE10" s="39"/>
      <c r="AF10" s="39"/>
      <c r="AG10" s="39"/>
      <c r="AH10" s="32" t="str">
        <f t="shared" si="8"/>
        <v/>
      </c>
      <c r="AI10" s="33">
        <f t="shared" si="9"/>
        <v>262.8</v>
      </c>
      <c r="AJ10" s="33">
        <f t="shared" si="10"/>
        <v>43.8</v>
      </c>
      <c r="AK10" s="34">
        <f t="shared" si="11"/>
        <v>6</v>
      </c>
      <c r="AL10" s="35" t="str">
        <f t="shared" si="12"/>
        <v>D (Kurang)</v>
      </c>
    </row>
    <row r="11" ht="25.5" customHeight="1">
      <c r="A11" s="28">
        <v>5.0</v>
      </c>
      <c r="B11" s="29" t="s">
        <v>75</v>
      </c>
      <c r="C11" s="30">
        <v>85.0</v>
      </c>
      <c r="D11" s="30">
        <v>70.0</v>
      </c>
      <c r="E11" s="31"/>
      <c r="F11" s="32">
        <f t="shared" si="1"/>
        <v>62</v>
      </c>
      <c r="G11" s="30">
        <v>80.0</v>
      </c>
      <c r="H11" s="30">
        <v>83.0</v>
      </c>
      <c r="I11" s="31"/>
      <c r="J11" s="32">
        <f t="shared" si="2"/>
        <v>65.2</v>
      </c>
      <c r="K11" s="31"/>
      <c r="L11" s="30">
        <v>90.0</v>
      </c>
      <c r="M11" s="31"/>
      <c r="N11" s="32">
        <f t="shared" si="3"/>
        <v>36</v>
      </c>
      <c r="O11" s="31"/>
      <c r="P11" s="30">
        <v>89.0</v>
      </c>
      <c r="Q11" s="31"/>
      <c r="R11" s="32">
        <f t="shared" si="4"/>
        <v>35.6</v>
      </c>
      <c r="S11" s="31"/>
      <c r="T11" s="31"/>
      <c r="U11" s="31"/>
      <c r="V11" s="32" t="str">
        <f t="shared" si="5"/>
        <v/>
      </c>
      <c r="W11" s="31"/>
      <c r="X11" s="54">
        <v>80.0</v>
      </c>
      <c r="Y11" s="31"/>
      <c r="Z11" s="32">
        <f t="shared" si="6"/>
        <v>32</v>
      </c>
      <c r="AA11" s="31"/>
      <c r="AB11" s="30">
        <v>80.0</v>
      </c>
      <c r="AC11" s="31"/>
      <c r="AD11" s="32">
        <f t="shared" si="7"/>
        <v>32</v>
      </c>
      <c r="AE11" s="31"/>
      <c r="AF11" s="31"/>
      <c r="AG11" s="31"/>
      <c r="AH11" s="32" t="str">
        <f t="shared" si="8"/>
        <v/>
      </c>
      <c r="AI11" s="33">
        <f t="shared" si="9"/>
        <v>262.8</v>
      </c>
      <c r="AJ11" s="33">
        <f t="shared" si="10"/>
        <v>43.8</v>
      </c>
      <c r="AK11" s="34">
        <f t="shared" si="11"/>
        <v>6</v>
      </c>
      <c r="AL11" s="35" t="str">
        <f t="shared" si="12"/>
        <v>D (Kurang)</v>
      </c>
    </row>
    <row r="12" ht="25.5" customHeight="1">
      <c r="A12" s="36">
        <v>6.0</v>
      </c>
      <c r="B12" s="37" t="s">
        <v>76</v>
      </c>
      <c r="C12" s="38">
        <v>85.0</v>
      </c>
      <c r="D12" s="38">
        <v>95.0</v>
      </c>
      <c r="E12" s="39"/>
      <c r="F12" s="32">
        <f t="shared" si="1"/>
        <v>72</v>
      </c>
      <c r="G12" s="38">
        <v>80.0</v>
      </c>
      <c r="H12" s="38">
        <v>85.0</v>
      </c>
      <c r="I12" s="39"/>
      <c r="J12" s="32">
        <f t="shared" si="2"/>
        <v>66</v>
      </c>
      <c r="K12" s="39"/>
      <c r="L12" s="38">
        <v>100.0</v>
      </c>
      <c r="M12" s="39"/>
      <c r="N12" s="32">
        <f t="shared" si="3"/>
        <v>40</v>
      </c>
      <c r="O12" s="39"/>
      <c r="P12" s="38">
        <v>100.0</v>
      </c>
      <c r="Q12" s="39"/>
      <c r="R12" s="32">
        <f t="shared" si="4"/>
        <v>40</v>
      </c>
      <c r="S12" s="39"/>
      <c r="T12" s="39"/>
      <c r="U12" s="39"/>
      <c r="V12" s="32" t="str">
        <f t="shared" si="5"/>
        <v/>
      </c>
      <c r="W12" s="39"/>
      <c r="X12" s="54">
        <v>83.0</v>
      </c>
      <c r="Y12" s="39"/>
      <c r="Z12" s="32">
        <f t="shared" si="6"/>
        <v>33.2</v>
      </c>
      <c r="AA12" s="39"/>
      <c r="AB12" s="38">
        <v>98.0</v>
      </c>
      <c r="AC12" s="39"/>
      <c r="AD12" s="32">
        <f t="shared" si="7"/>
        <v>39.2</v>
      </c>
      <c r="AE12" s="39"/>
      <c r="AF12" s="39"/>
      <c r="AG12" s="39"/>
      <c r="AH12" s="32" t="str">
        <f t="shared" si="8"/>
        <v/>
      </c>
      <c r="AI12" s="33">
        <f t="shared" si="9"/>
        <v>290.4</v>
      </c>
      <c r="AJ12" s="33">
        <f t="shared" si="10"/>
        <v>48.4</v>
      </c>
      <c r="AK12" s="34">
        <f t="shared" si="11"/>
        <v>1</v>
      </c>
      <c r="AL12" s="35" t="str">
        <f t="shared" si="12"/>
        <v>D (Kurang)</v>
      </c>
    </row>
    <row r="13" ht="25.5" customHeight="1">
      <c r="A13" s="28">
        <v>7.0</v>
      </c>
      <c r="B13" s="29" t="s">
        <v>77</v>
      </c>
      <c r="C13" s="30">
        <v>85.0</v>
      </c>
      <c r="D13" s="30">
        <v>70.0</v>
      </c>
      <c r="E13" s="31"/>
      <c r="F13" s="32">
        <f t="shared" si="1"/>
        <v>62</v>
      </c>
      <c r="G13" s="30">
        <v>82.0</v>
      </c>
      <c r="H13" s="30">
        <v>88.0</v>
      </c>
      <c r="I13" s="31"/>
      <c r="J13" s="32">
        <f t="shared" si="2"/>
        <v>68</v>
      </c>
      <c r="K13" s="31"/>
      <c r="L13" s="30">
        <v>70.0</v>
      </c>
      <c r="M13" s="31"/>
      <c r="N13" s="32">
        <f t="shared" si="3"/>
        <v>28</v>
      </c>
      <c r="O13" s="31"/>
      <c r="P13" s="30">
        <v>84.0</v>
      </c>
      <c r="Q13" s="31"/>
      <c r="R13" s="32">
        <f t="shared" si="4"/>
        <v>33.6</v>
      </c>
      <c r="S13" s="31"/>
      <c r="T13" s="31"/>
      <c r="U13" s="31"/>
      <c r="V13" s="32" t="str">
        <f t="shared" si="5"/>
        <v/>
      </c>
      <c r="W13" s="31"/>
      <c r="X13" s="54">
        <v>82.0</v>
      </c>
      <c r="Y13" s="31"/>
      <c r="Z13" s="32">
        <f t="shared" si="6"/>
        <v>32.8</v>
      </c>
      <c r="AA13" s="31"/>
      <c r="AB13" s="30">
        <v>80.0</v>
      </c>
      <c r="AC13" s="31"/>
      <c r="AD13" s="32">
        <f t="shared" si="7"/>
        <v>32</v>
      </c>
      <c r="AE13" s="31"/>
      <c r="AF13" s="31"/>
      <c r="AG13" s="31"/>
      <c r="AH13" s="32" t="str">
        <f t="shared" si="8"/>
        <v/>
      </c>
      <c r="AI13" s="33">
        <f t="shared" si="9"/>
        <v>256.4</v>
      </c>
      <c r="AJ13" s="33">
        <f t="shared" si="10"/>
        <v>42.7</v>
      </c>
      <c r="AK13" s="34">
        <f t="shared" si="11"/>
        <v>13</v>
      </c>
      <c r="AL13" s="35" t="str">
        <f t="shared" si="12"/>
        <v>D (Kurang)</v>
      </c>
    </row>
    <row r="14" ht="25.5" customHeight="1">
      <c r="A14" s="36">
        <v>8.0</v>
      </c>
      <c r="B14" s="37" t="s">
        <v>78</v>
      </c>
      <c r="C14" s="38">
        <v>85.0</v>
      </c>
      <c r="D14" s="38">
        <v>50.0</v>
      </c>
      <c r="E14" s="39"/>
      <c r="F14" s="32">
        <f t="shared" si="1"/>
        <v>54</v>
      </c>
      <c r="G14" s="38">
        <v>82.0</v>
      </c>
      <c r="H14" s="38">
        <v>86.0</v>
      </c>
      <c r="I14" s="39"/>
      <c r="J14" s="32">
        <f t="shared" si="2"/>
        <v>67.2</v>
      </c>
      <c r="K14" s="39"/>
      <c r="L14" s="38">
        <v>80.0</v>
      </c>
      <c r="M14" s="39"/>
      <c r="N14" s="32">
        <f t="shared" si="3"/>
        <v>32</v>
      </c>
      <c r="O14" s="39"/>
      <c r="P14" s="38">
        <v>81.0</v>
      </c>
      <c r="Q14" s="39"/>
      <c r="R14" s="32">
        <f t="shared" si="4"/>
        <v>32.4</v>
      </c>
      <c r="S14" s="39"/>
      <c r="T14" s="39"/>
      <c r="U14" s="39"/>
      <c r="V14" s="32" t="str">
        <f t="shared" si="5"/>
        <v/>
      </c>
      <c r="W14" s="39"/>
      <c r="X14" s="54">
        <v>85.0</v>
      </c>
      <c r="Y14" s="39"/>
      <c r="Z14" s="32">
        <f t="shared" si="6"/>
        <v>34</v>
      </c>
      <c r="AA14" s="39"/>
      <c r="AB14" s="38">
        <v>90.0</v>
      </c>
      <c r="AC14" s="39"/>
      <c r="AD14" s="32">
        <f t="shared" si="7"/>
        <v>36</v>
      </c>
      <c r="AE14" s="39"/>
      <c r="AF14" s="39"/>
      <c r="AG14" s="39"/>
      <c r="AH14" s="32" t="str">
        <f t="shared" si="8"/>
        <v/>
      </c>
      <c r="AI14" s="33">
        <f t="shared" si="9"/>
        <v>255.6</v>
      </c>
      <c r="AJ14" s="33">
        <f t="shared" si="10"/>
        <v>42.6</v>
      </c>
      <c r="AK14" s="34">
        <f t="shared" si="11"/>
        <v>14</v>
      </c>
      <c r="AL14" s="35" t="str">
        <f t="shared" si="12"/>
        <v>D (Kurang)</v>
      </c>
    </row>
    <row r="15" ht="25.5" customHeight="1">
      <c r="A15" s="28">
        <v>9.0</v>
      </c>
      <c r="B15" s="29" t="s">
        <v>79</v>
      </c>
      <c r="C15" s="30">
        <v>85.0</v>
      </c>
      <c r="D15" s="30">
        <v>50.0</v>
      </c>
      <c r="E15" s="31"/>
      <c r="F15" s="32">
        <f t="shared" si="1"/>
        <v>54</v>
      </c>
      <c r="G15" s="30">
        <v>78.0</v>
      </c>
      <c r="H15" s="30">
        <v>78.0</v>
      </c>
      <c r="I15" s="31"/>
      <c r="J15" s="32">
        <f t="shared" si="2"/>
        <v>62.4</v>
      </c>
      <c r="K15" s="31"/>
      <c r="L15" s="30">
        <v>80.0</v>
      </c>
      <c r="M15" s="31"/>
      <c r="N15" s="32">
        <f t="shared" si="3"/>
        <v>32</v>
      </c>
      <c r="O15" s="31"/>
      <c r="P15" s="30">
        <v>93.0</v>
      </c>
      <c r="Q15" s="31"/>
      <c r="R15" s="32">
        <f t="shared" si="4"/>
        <v>37.2</v>
      </c>
      <c r="S15" s="31"/>
      <c r="T15" s="31"/>
      <c r="U15" s="31"/>
      <c r="V15" s="32" t="str">
        <f t="shared" si="5"/>
        <v/>
      </c>
      <c r="W15" s="31"/>
      <c r="X15" s="54">
        <v>85.0</v>
      </c>
      <c r="Y15" s="31"/>
      <c r="Z15" s="32">
        <f t="shared" si="6"/>
        <v>34</v>
      </c>
      <c r="AA15" s="31"/>
      <c r="AB15" s="30">
        <v>80.0</v>
      </c>
      <c r="AC15" s="31"/>
      <c r="AD15" s="32">
        <f t="shared" si="7"/>
        <v>32</v>
      </c>
      <c r="AE15" s="31"/>
      <c r="AF15" s="31"/>
      <c r="AG15" s="31"/>
      <c r="AH15" s="32" t="str">
        <f t="shared" si="8"/>
        <v/>
      </c>
      <c r="AI15" s="33">
        <f t="shared" si="9"/>
        <v>251.6</v>
      </c>
      <c r="AJ15" s="33">
        <f t="shared" si="10"/>
        <v>41.9</v>
      </c>
      <c r="AK15" s="34">
        <f t="shared" si="11"/>
        <v>19</v>
      </c>
      <c r="AL15" s="35" t="str">
        <f t="shared" si="12"/>
        <v>D (Kurang)</v>
      </c>
    </row>
    <row r="16" ht="25.5" customHeight="1">
      <c r="A16" s="36">
        <v>10.0</v>
      </c>
      <c r="B16" s="37" t="s">
        <v>80</v>
      </c>
      <c r="C16" s="38">
        <v>85.0</v>
      </c>
      <c r="D16" s="38">
        <v>35.0</v>
      </c>
      <c r="E16" s="39"/>
      <c r="F16" s="32">
        <f t="shared" si="1"/>
        <v>48</v>
      </c>
      <c r="G16" s="38">
        <v>75.0</v>
      </c>
      <c r="H16" s="38">
        <v>80.0</v>
      </c>
      <c r="I16" s="39"/>
      <c r="J16" s="32">
        <f t="shared" si="2"/>
        <v>62</v>
      </c>
      <c r="K16" s="39"/>
      <c r="L16" s="38">
        <v>90.0</v>
      </c>
      <c r="M16" s="39"/>
      <c r="N16" s="32">
        <f t="shared" si="3"/>
        <v>36</v>
      </c>
      <c r="O16" s="39"/>
      <c r="P16" s="38">
        <v>85.0</v>
      </c>
      <c r="Q16" s="39"/>
      <c r="R16" s="32">
        <f t="shared" si="4"/>
        <v>34</v>
      </c>
      <c r="S16" s="39"/>
      <c r="T16" s="39"/>
      <c r="U16" s="39"/>
      <c r="V16" s="32" t="str">
        <f t="shared" si="5"/>
        <v/>
      </c>
      <c r="W16" s="39"/>
      <c r="X16" s="54">
        <v>83.0</v>
      </c>
      <c r="Y16" s="39"/>
      <c r="Z16" s="32">
        <f t="shared" si="6"/>
        <v>33.2</v>
      </c>
      <c r="AA16" s="39"/>
      <c r="AB16" s="38">
        <v>90.0</v>
      </c>
      <c r="AC16" s="39"/>
      <c r="AD16" s="32">
        <f t="shared" si="7"/>
        <v>36</v>
      </c>
      <c r="AE16" s="39"/>
      <c r="AF16" s="39"/>
      <c r="AG16" s="39"/>
      <c r="AH16" s="32" t="str">
        <f t="shared" si="8"/>
        <v/>
      </c>
      <c r="AI16" s="33">
        <f t="shared" si="9"/>
        <v>249.2</v>
      </c>
      <c r="AJ16" s="33">
        <f t="shared" si="10"/>
        <v>41.5</v>
      </c>
      <c r="AK16" s="34">
        <f t="shared" si="11"/>
        <v>21</v>
      </c>
      <c r="AL16" s="35" t="str">
        <f t="shared" si="12"/>
        <v>D (Kurang)</v>
      </c>
    </row>
    <row r="17" ht="25.5" customHeight="1">
      <c r="A17" s="28">
        <v>11.0</v>
      </c>
      <c r="B17" s="29" t="s">
        <v>81</v>
      </c>
      <c r="C17" s="30">
        <v>85.0</v>
      </c>
      <c r="D17" s="30">
        <v>70.0</v>
      </c>
      <c r="E17" s="31"/>
      <c r="F17" s="32">
        <f t="shared" si="1"/>
        <v>62</v>
      </c>
      <c r="G17" s="30">
        <v>78.0</v>
      </c>
      <c r="H17" s="30">
        <v>85.0</v>
      </c>
      <c r="I17" s="31"/>
      <c r="J17" s="32">
        <f t="shared" si="2"/>
        <v>65.2</v>
      </c>
      <c r="K17" s="31"/>
      <c r="L17" s="30">
        <v>90.0</v>
      </c>
      <c r="M17" s="31"/>
      <c r="N17" s="32">
        <f t="shared" si="3"/>
        <v>36</v>
      </c>
      <c r="O17" s="31"/>
      <c r="P17" s="30">
        <v>81.0</v>
      </c>
      <c r="Q17" s="31"/>
      <c r="R17" s="32">
        <f t="shared" si="4"/>
        <v>32.4</v>
      </c>
      <c r="S17" s="31"/>
      <c r="T17" s="31"/>
      <c r="U17" s="31"/>
      <c r="V17" s="32" t="str">
        <f t="shared" si="5"/>
        <v/>
      </c>
      <c r="W17" s="31"/>
      <c r="X17" s="54">
        <v>82.0</v>
      </c>
      <c r="Y17" s="31"/>
      <c r="Z17" s="32">
        <f t="shared" si="6"/>
        <v>32.8</v>
      </c>
      <c r="AA17" s="31"/>
      <c r="AB17" s="30">
        <v>80.0</v>
      </c>
      <c r="AC17" s="31"/>
      <c r="AD17" s="32">
        <f t="shared" si="7"/>
        <v>32</v>
      </c>
      <c r="AE17" s="31"/>
      <c r="AF17" s="31"/>
      <c r="AG17" s="31"/>
      <c r="AH17" s="32" t="str">
        <f t="shared" si="8"/>
        <v/>
      </c>
      <c r="AI17" s="33">
        <f t="shared" si="9"/>
        <v>260.4</v>
      </c>
      <c r="AJ17" s="33">
        <f t="shared" si="10"/>
        <v>43.4</v>
      </c>
      <c r="AK17" s="34">
        <f t="shared" si="11"/>
        <v>9</v>
      </c>
      <c r="AL17" s="35" t="str">
        <f t="shared" si="12"/>
        <v>D (Kurang)</v>
      </c>
    </row>
    <row r="18" ht="25.5" customHeight="1">
      <c r="A18" s="36">
        <v>12.0</v>
      </c>
      <c r="B18" s="37" t="s">
        <v>82</v>
      </c>
      <c r="C18" s="38">
        <v>85.0</v>
      </c>
      <c r="D18" s="38">
        <v>45.0</v>
      </c>
      <c r="E18" s="39"/>
      <c r="F18" s="32">
        <f t="shared" si="1"/>
        <v>52</v>
      </c>
      <c r="G18" s="38">
        <v>79.0</v>
      </c>
      <c r="H18" s="38">
        <v>84.0</v>
      </c>
      <c r="I18" s="39"/>
      <c r="J18" s="32">
        <f t="shared" si="2"/>
        <v>65.2</v>
      </c>
      <c r="K18" s="39"/>
      <c r="L18" s="38">
        <v>80.0</v>
      </c>
      <c r="M18" s="39"/>
      <c r="N18" s="32">
        <f t="shared" si="3"/>
        <v>32</v>
      </c>
      <c r="O18" s="39"/>
      <c r="P18" s="38">
        <v>91.0</v>
      </c>
      <c r="Q18" s="39"/>
      <c r="R18" s="32">
        <f t="shared" si="4"/>
        <v>36.4</v>
      </c>
      <c r="S18" s="39"/>
      <c r="T18" s="39"/>
      <c r="U18" s="39"/>
      <c r="V18" s="32" t="str">
        <f t="shared" si="5"/>
        <v/>
      </c>
      <c r="W18" s="39"/>
      <c r="X18" s="54">
        <v>80.0</v>
      </c>
      <c r="Y18" s="39"/>
      <c r="Z18" s="32">
        <f t="shared" si="6"/>
        <v>32</v>
      </c>
      <c r="AA18" s="39"/>
      <c r="AB18" s="38">
        <v>95.0</v>
      </c>
      <c r="AC18" s="39"/>
      <c r="AD18" s="32">
        <f t="shared" si="7"/>
        <v>38</v>
      </c>
      <c r="AE18" s="39"/>
      <c r="AF18" s="39"/>
      <c r="AG18" s="39"/>
      <c r="AH18" s="32" t="str">
        <f t="shared" si="8"/>
        <v/>
      </c>
      <c r="AI18" s="33">
        <f t="shared" si="9"/>
        <v>255.6</v>
      </c>
      <c r="AJ18" s="33">
        <f t="shared" si="10"/>
        <v>42.6</v>
      </c>
      <c r="AK18" s="34">
        <f t="shared" si="11"/>
        <v>14</v>
      </c>
      <c r="AL18" s="35" t="str">
        <f t="shared" si="12"/>
        <v>D (Kurang)</v>
      </c>
    </row>
    <row r="19" ht="25.5" customHeight="1">
      <c r="A19" s="28">
        <v>13.0</v>
      </c>
      <c r="B19" s="29" t="s">
        <v>83</v>
      </c>
      <c r="C19" s="30">
        <v>85.0</v>
      </c>
      <c r="D19" s="30">
        <v>70.0</v>
      </c>
      <c r="E19" s="31"/>
      <c r="F19" s="32">
        <f t="shared" si="1"/>
        <v>62</v>
      </c>
      <c r="G19" s="30">
        <v>78.0</v>
      </c>
      <c r="H19" s="30">
        <v>85.0</v>
      </c>
      <c r="I19" s="31"/>
      <c r="J19" s="32">
        <f t="shared" si="2"/>
        <v>65.2</v>
      </c>
      <c r="K19" s="31"/>
      <c r="L19" s="30">
        <v>90.0</v>
      </c>
      <c r="M19" s="31"/>
      <c r="N19" s="32">
        <f t="shared" si="3"/>
        <v>36</v>
      </c>
      <c r="O19" s="31"/>
      <c r="P19" s="30">
        <v>50.0</v>
      </c>
      <c r="Q19" s="31"/>
      <c r="R19" s="32">
        <f t="shared" si="4"/>
        <v>20</v>
      </c>
      <c r="S19" s="31"/>
      <c r="T19" s="31"/>
      <c r="U19" s="31"/>
      <c r="V19" s="32" t="str">
        <f t="shared" si="5"/>
        <v/>
      </c>
      <c r="W19" s="31"/>
      <c r="X19" s="54">
        <v>82.0</v>
      </c>
      <c r="Y19" s="31"/>
      <c r="Z19" s="32">
        <f t="shared" si="6"/>
        <v>32.8</v>
      </c>
      <c r="AA19" s="31"/>
      <c r="AB19" s="30">
        <v>92.0</v>
      </c>
      <c r="AC19" s="31"/>
      <c r="AD19" s="32">
        <f t="shared" si="7"/>
        <v>36.8</v>
      </c>
      <c r="AE19" s="31"/>
      <c r="AF19" s="31"/>
      <c r="AG19" s="31"/>
      <c r="AH19" s="32" t="str">
        <f t="shared" si="8"/>
        <v/>
      </c>
      <c r="AI19" s="33">
        <f t="shared" si="9"/>
        <v>252.8</v>
      </c>
      <c r="AJ19" s="33">
        <f t="shared" si="10"/>
        <v>42.1</v>
      </c>
      <c r="AK19" s="34">
        <f t="shared" si="11"/>
        <v>18</v>
      </c>
      <c r="AL19" s="35" t="str">
        <f t="shared" si="12"/>
        <v>D (Kurang)</v>
      </c>
    </row>
    <row r="20" ht="25.5" customHeight="1">
      <c r="A20" s="36">
        <v>14.0</v>
      </c>
      <c r="B20" s="37" t="s">
        <v>84</v>
      </c>
      <c r="C20" s="38">
        <v>85.0</v>
      </c>
      <c r="D20" s="38">
        <v>55.0</v>
      </c>
      <c r="E20" s="39"/>
      <c r="F20" s="32">
        <f t="shared" si="1"/>
        <v>56</v>
      </c>
      <c r="G20" s="38">
        <v>79.0</v>
      </c>
      <c r="H20" s="38">
        <v>80.0</v>
      </c>
      <c r="I20" s="39"/>
      <c r="J20" s="32">
        <f t="shared" si="2"/>
        <v>63.6</v>
      </c>
      <c r="K20" s="39"/>
      <c r="L20" s="38">
        <v>80.0</v>
      </c>
      <c r="M20" s="39"/>
      <c r="N20" s="32">
        <f t="shared" si="3"/>
        <v>32</v>
      </c>
      <c r="O20" s="39"/>
      <c r="P20" s="38">
        <v>91.0</v>
      </c>
      <c r="Q20" s="39"/>
      <c r="R20" s="32">
        <f t="shared" si="4"/>
        <v>36.4</v>
      </c>
      <c r="S20" s="39"/>
      <c r="T20" s="39"/>
      <c r="U20" s="39"/>
      <c r="V20" s="32" t="str">
        <f t="shared" si="5"/>
        <v/>
      </c>
      <c r="W20" s="39"/>
      <c r="X20" s="54">
        <v>83.0</v>
      </c>
      <c r="Y20" s="39"/>
      <c r="Z20" s="32">
        <f t="shared" si="6"/>
        <v>33.2</v>
      </c>
      <c r="AA20" s="39"/>
      <c r="AB20" s="38">
        <v>80.0</v>
      </c>
      <c r="AC20" s="39"/>
      <c r="AD20" s="32">
        <f t="shared" si="7"/>
        <v>32</v>
      </c>
      <c r="AE20" s="39"/>
      <c r="AF20" s="39"/>
      <c r="AG20" s="39"/>
      <c r="AH20" s="32" t="str">
        <f t="shared" si="8"/>
        <v/>
      </c>
      <c r="AI20" s="33">
        <f t="shared" si="9"/>
        <v>253.2</v>
      </c>
      <c r="AJ20" s="33">
        <f t="shared" si="10"/>
        <v>42.2</v>
      </c>
      <c r="AK20" s="34">
        <f t="shared" si="11"/>
        <v>17</v>
      </c>
      <c r="AL20" s="35" t="str">
        <f t="shared" si="12"/>
        <v>D (Kurang)</v>
      </c>
    </row>
    <row r="21" ht="25.5" customHeight="1">
      <c r="A21" s="28">
        <v>15.0</v>
      </c>
      <c r="B21" s="29" t="s">
        <v>85</v>
      </c>
      <c r="C21" s="30">
        <v>85.0</v>
      </c>
      <c r="D21" s="30">
        <v>60.0</v>
      </c>
      <c r="E21" s="31"/>
      <c r="F21" s="32">
        <f t="shared" si="1"/>
        <v>58</v>
      </c>
      <c r="G21" s="30">
        <v>78.0</v>
      </c>
      <c r="H21" s="30">
        <v>85.0</v>
      </c>
      <c r="I21" s="31"/>
      <c r="J21" s="32">
        <f t="shared" si="2"/>
        <v>65.2</v>
      </c>
      <c r="K21" s="31"/>
      <c r="L21" s="30">
        <v>80.0</v>
      </c>
      <c r="M21" s="31"/>
      <c r="N21" s="32">
        <f t="shared" si="3"/>
        <v>32</v>
      </c>
      <c r="O21" s="31"/>
      <c r="P21" s="30">
        <v>86.0</v>
      </c>
      <c r="Q21" s="31"/>
      <c r="R21" s="32">
        <f t="shared" si="4"/>
        <v>34.4</v>
      </c>
      <c r="S21" s="31"/>
      <c r="T21" s="31"/>
      <c r="U21" s="31"/>
      <c r="V21" s="32" t="str">
        <f t="shared" si="5"/>
        <v/>
      </c>
      <c r="W21" s="31"/>
      <c r="X21" s="54">
        <v>82.0</v>
      </c>
      <c r="Y21" s="31"/>
      <c r="Z21" s="32">
        <f t="shared" si="6"/>
        <v>32.8</v>
      </c>
      <c r="AA21" s="31"/>
      <c r="AB21" s="30">
        <v>90.0</v>
      </c>
      <c r="AC21" s="31"/>
      <c r="AD21" s="32">
        <f t="shared" si="7"/>
        <v>36</v>
      </c>
      <c r="AE21" s="31"/>
      <c r="AF21" s="31"/>
      <c r="AG21" s="31"/>
      <c r="AH21" s="32" t="str">
        <f t="shared" si="8"/>
        <v/>
      </c>
      <c r="AI21" s="33">
        <f t="shared" si="9"/>
        <v>258.4</v>
      </c>
      <c r="AJ21" s="33">
        <f t="shared" si="10"/>
        <v>43.1</v>
      </c>
      <c r="AK21" s="34">
        <f t="shared" si="11"/>
        <v>11</v>
      </c>
      <c r="AL21" s="35" t="str">
        <f t="shared" si="12"/>
        <v>D (Kurang)</v>
      </c>
    </row>
    <row r="22" ht="25.5" customHeight="1">
      <c r="A22" s="36">
        <v>16.0</v>
      </c>
      <c r="B22" s="37" t="s">
        <v>86</v>
      </c>
      <c r="C22" s="38">
        <v>85.0</v>
      </c>
      <c r="D22" s="39"/>
      <c r="E22" s="39"/>
      <c r="F22" s="32">
        <f t="shared" si="1"/>
        <v>34</v>
      </c>
      <c r="G22" s="38">
        <v>75.0</v>
      </c>
      <c r="H22" s="38">
        <v>80.0</v>
      </c>
      <c r="I22" s="39"/>
      <c r="J22" s="32">
        <f t="shared" si="2"/>
        <v>62</v>
      </c>
      <c r="K22" s="39"/>
      <c r="L22" s="39"/>
      <c r="M22" s="39"/>
      <c r="N22" s="32" t="str">
        <f t="shared" si="3"/>
        <v/>
      </c>
      <c r="O22" s="39"/>
      <c r="P22" s="38">
        <v>0.0</v>
      </c>
      <c r="Q22" s="39"/>
      <c r="R22" s="32">
        <f t="shared" si="4"/>
        <v>0</v>
      </c>
      <c r="S22" s="39"/>
      <c r="T22" s="39"/>
      <c r="U22" s="39"/>
      <c r="V22" s="32" t="str">
        <f t="shared" si="5"/>
        <v/>
      </c>
      <c r="W22" s="39"/>
      <c r="X22" s="54">
        <v>84.0</v>
      </c>
      <c r="Y22" s="39"/>
      <c r="Z22" s="32">
        <f t="shared" si="6"/>
        <v>33.6</v>
      </c>
      <c r="AA22" s="39"/>
      <c r="AB22" s="38">
        <v>75.0</v>
      </c>
      <c r="AC22" s="39"/>
      <c r="AD22" s="32">
        <f t="shared" si="7"/>
        <v>30</v>
      </c>
      <c r="AE22" s="39"/>
      <c r="AF22" s="39"/>
      <c r="AG22" s="39"/>
      <c r="AH22" s="32" t="str">
        <f t="shared" si="8"/>
        <v/>
      </c>
      <c r="AI22" s="33">
        <f t="shared" si="9"/>
        <v>159.6</v>
      </c>
      <c r="AJ22" s="33">
        <f t="shared" si="10"/>
        <v>31.9</v>
      </c>
      <c r="AK22" s="34">
        <f t="shared" si="11"/>
        <v>25</v>
      </c>
      <c r="AL22" s="35" t="str">
        <f t="shared" si="12"/>
        <v>D (Kurang)</v>
      </c>
    </row>
    <row r="23" ht="25.5" customHeight="1">
      <c r="A23" s="28">
        <v>17.0</v>
      </c>
      <c r="B23" s="29" t="s">
        <v>87</v>
      </c>
      <c r="C23" s="30">
        <v>85.0</v>
      </c>
      <c r="D23" s="30">
        <v>75.0</v>
      </c>
      <c r="E23" s="31"/>
      <c r="F23" s="32">
        <f t="shared" si="1"/>
        <v>64</v>
      </c>
      <c r="G23" s="30">
        <v>75.0</v>
      </c>
      <c r="H23" s="30">
        <v>80.0</v>
      </c>
      <c r="I23" s="31"/>
      <c r="J23" s="32">
        <f t="shared" si="2"/>
        <v>62</v>
      </c>
      <c r="K23" s="31"/>
      <c r="L23" s="30">
        <v>90.0</v>
      </c>
      <c r="M23" s="31"/>
      <c r="N23" s="32">
        <f t="shared" si="3"/>
        <v>36</v>
      </c>
      <c r="O23" s="31"/>
      <c r="P23" s="30">
        <v>92.0</v>
      </c>
      <c r="Q23" s="31"/>
      <c r="R23" s="32">
        <f t="shared" si="4"/>
        <v>36.8</v>
      </c>
      <c r="S23" s="31"/>
      <c r="T23" s="31"/>
      <c r="U23" s="31"/>
      <c r="V23" s="32" t="str">
        <f t="shared" si="5"/>
        <v/>
      </c>
      <c r="W23" s="31"/>
      <c r="X23" s="54">
        <v>83.0</v>
      </c>
      <c r="Y23" s="31"/>
      <c r="Z23" s="32">
        <f t="shared" si="6"/>
        <v>33.2</v>
      </c>
      <c r="AA23" s="31"/>
      <c r="AB23" s="30">
        <v>90.0</v>
      </c>
      <c r="AC23" s="31"/>
      <c r="AD23" s="32">
        <f t="shared" si="7"/>
        <v>36</v>
      </c>
      <c r="AE23" s="31"/>
      <c r="AF23" s="31"/>
      <c r="AG23" s="31"/>
      <c r="AH23" s="32" t="str">
        <f t="shared" si="8"/>
        <v/>
      </c>
      <c r="AI23" s="33">
        <f t="shared" si="9"/>
        <v>268</v>
      </c>
      <c r="AJ23" s="33">
        <f t="shared" si="10"/>
        <v>44.7</v>
      </c>
      <c r="AK23" s="34">
        <f t="shared" si="11"/>
        <v>4</v>
      </c>
      <c r="AL23" s="35" t="str">
        <f t="shared" si="12"/>
        <v>D (Kurang)</v>
      </c>
    </row>
    <row r="24" ht="25.5" customHeight="1">
      <c r="A24" s="36">
        <v>18.0</v>
      </c>
      <c r="B24" s="37" t="s">
        <v>88</v>
      </c>
      <c r="C24" s="38">
        <v>85.0</v>
      </c>
      <c r="D24" s="38">
        <v>60.0</v>
      </c>
      <c r="E24" s="39"/>
      <c r="F24" s="32">
        <f t="shared" si="1"/>
        <v>58</v>
      </c>
      <c r="G24" s="38">
        <v>78.0</v>
      </c>
      <c r="H24" s="38">
        <v>79.0</v>
      </c>
      <c r="I24" s="39"/>
      <c r="J24" s="32">
        <f t="shared" si="2"/>
        <v>62.8</v>
      </c>
      <c r="K24" s="39"/>
      <c r="L24" s="38">
        <v>80.0</v>
      </c>
      <c r="M24" s="39"/>
      <c r="N24" s="32">
        <f t="shared" si="3"/>
        <v>32</v>
      </c>
      <c r="O24" s="39"/>
      <c r="P24" s="38">
        <v>81.0</v>
      </c>
      <c r="Q24" s="39"/>
      <c r="R24" s="32">
        <f t="shared" si="4"/>
        <v>32.4</v>
      </c>
      <c r="S24" s="39"/>
      <c r="T24" s="39"/>
      <c r="U24" s="39"/>
      <c r="V24" s="32" t="str">
        <f t="shared" si="5"/>
        <v/>
      </c>
      <c r="W24" s="39"/>
      <c r="X24" s="54">
        <v>80.0</v>
      </c>
      <c r="Y24" s="39"/>
      <c r="Z24" s="32">
        <f t="shared" si="6"/>
        <v>32</v>
      </c>
      <c r="AA24" s="39"/>
      <c r="AB24" s="38">
        <v>95.0</v>
      </c>
      <c r="AC24" s="39"/>
      <c r="AD24" s="32">
        <f t="shared" si="7"/>
        <v>38</v>
      </c>
      <c r="AE24" s="39"/>
      <c r="AF24" s="39"/>
      <c r="AG24" s="39"/>
      <c r="AH24" s="32" t="str">
        <f t="shared" si="8"/>
        <v/>
      </c>
      <c r="AI24" s="33">
        <f t="shared" si="9"/>
        <v>255.2</v>
      </c>
      <c r="AJ24" s="33">
        <f t="shared" si="10"/>
        <v>42.5</v>
      </c>
      <c r="AK24" s="34">
        <f t="shared" si="11"/>
        <v>16</v>
      </c>
      <c r="AL24" s="35" t="str">
        <f t="shared" si="12"/>
        <v>D (Kurang)</v>
      </c>
    </row>
    <row r="25" ht="25.5" customHeight="1">
      <c r="A25" s="28">
        <v>19.0</v>
      </c>
      <c r="B25" s="29" t="s">
        <v>89</v>
      </c>
      <c r="C25" s="30">
        <v>85.0</v>
      </c>
      <c r="D25" s="30">
        <v>65.0</v>
      </c>
      <c r="E25" s="31"/>
      <c r="F25" s="32">
        <f t="shared" si="1"/>
        <v>60</v>
      </c>
      <c r="G25" s="31"/>
      <c r="H25" s="31"/>
      <c r="I25" s="31"/>
      <c r="J25" s="32" t="str">
        <f t="shared" si="2"/>
        <v/>
      </c>
      <c r="K25" s="31"/>
      <c r="L25" s="30">
        <v>70.0</v>
      </c>
      <c r="M25" s="31"/>
      <c r="N25" s="32">
        <f t="shared" si="3"/>
        <v>28</v>
      </c>
      <c r="O25" s="31"/>
      <c r="P25" s="30">
        <v>100.0</v>
      </c>
      <c r="Q25" s="31"/>
      <c r="R25" s="32">
        <f t="shared" si="4"/>
        <v>40</v>
      </c>
      <c r="S25" s="31"/>
      <c r="T25" s="31"/>
      <c r="U25" s="31"/>
      <c r="V25" s="32" t="str">
        <f t="shared" si="5"/>
        <v/>
      </c>
      <c r="W25" s="31"/>
      <c r="X25" s="54">
        <v>84.0</v>
      </c>
      <c r="Y25" s="31"/>
      <c r="Z25" s="32">
        <f t="shared" si="6"/>
        <v>33.6</v>
      </c>
      <c r="AA25" s="31"/>
      <c r="AB25" s="30">
        <v>90.0</v>
      </c>
      <c r="AC25" s="31"/>
      <c r="AD25" s="32">
        <f t="shared" si="7"/>
        <v>36</v>
      </c>
      <c r="AE25" s="31"/>
      <c r="AF25" s="31"/>
      <c r="AG25" s="31"/>
      <c r="AH25" s="32" t="str">
        <f t="shared" si="8"/>
        <v/>
      </c>
      <c r="AI25" s="33">
        <f t="shared" si="9"/>
        <v>197.6</v>
      </c>
      <c r="AJ25" s="33">
        <f t="shared" si="10"/>
        <v>39.5</v>
      </c>
      <c r="AK25" s="34">
        <f t="shared" si="11"/>
        <v>23</v>
      </c>
      <c r="AL25" s="35" t="str">
        <f t="shared" si="12"/>
        <v>D (Kurang)</v>
      </c>
    </row>
    <row r="26" ht="25.5" customHeight="1">
      <c r="A26" s="36">
        <v>20.0</v>
      </c>
      <c r="B26" s="37" t="s">
        <v>90</v>
      </c>
      <c r="C26" s="38">
        <v>85.0</v>
      </c>
      <c r="D26" s="38">
        <v>95.0</v>
      </c>
      <c r="E26" s="39"/>
      <c r="F26" s="32">
        <f t="shared" si="1"/>
        <v>72</v>
      </c>
      <c r="G26" s="38">
        <v>78.0</v>
      </c>
      <c r="H26" s="38">
        <v>85.0</v>
      </c>
      <c r="I26" s="39"/>
      <c r="J26" s="32">
        <f t="shared" si="2"/>
        <v>65.2</v>
      </c>
      <c r="K26" s="39"/>
      <c r="L26" s="38">
        <v>80.0</v>
      </c>
      <c r="M26" s="39"/>
      <c r="N26" s="32">
        <f t="shared" si="3"/>
        <v>32</v>
      </c>
      <c r="O26" s="39"/>
      <c r="P26" s="38">
        <v>89.0</v>
      </c>
      <c r="Q26" s="39"/>
      <c r="R26" s="32">
        <f t="shared" si="4"/>
        <v>35.6</v>
      </c>
      <c r="S26" s="39"/>
      <c r="T26" s="39"/>
      <c r="U26" s="39"/>
      <c r="V26" s="32" t="str">
        <f t="shared" si="5"/>
        <v/>
      </c>
      <c r="W26" s="39"/>
      <c r="X26" s="54">
        <v>82.0</v>
      </c>
      <c r="Y26" s="39"/>
      <c r="Z26" s="32">
        <f t="shared" si="6"/>
        <v>32.8</v>
      </c>
      <c r="AA26" s="39"/>
      <c r="AB26" s="38">
        <v>90.0</v>
      </c>
      <c r="AC26" s="39"/>
      <c r="AD26" s="32">
        <f t="shared" si="7"/>
        <v>36</v>
      </c>
      <c r="AE26" s="39"/>
      <c r="AF26" s="39"/>
      <c r="AG26" s="39"/>
      <c r="AH26" s="32" t="str">
        <f t="shared" si="8"/>
        <v/>
      </c>
      <c r="AI26" s="33">
        <f t="shared" si="9"/>
        <v>273.6</v>
      </c>
      <c r="AJ26" s="33">
        <f t="shared" si="10"/>
        <v>45.6</v>
      </c>
      <c r="AK26" s="34">
        <f t="shared" si="11"/>
        <v>2</v>
      </c>
      <c r="AL26" s="35" t="str">
        <f t="shared" si="12"/>
        <v>D (Kurang)</v>
      </c>
    </row>
    <row r="27" ht="25.5" customHeight="1">
      <c r="A27" s="28">
        <v>21.0</v>
      </c>
      <c r="B27" s="29" t="s">
        <v>91</v>
      </c>
      <c r="C27" s="30">
        <v>85.0</v>
      </c>
      <c r="D27" s="30">
        <v>45.0</v>
      </c>
      <c r="E27" s="31"/>
      <c r="F27" s="32">
        <f t="shared" si="1"/>
        <v>52</v>
      </c>
      <c r="G27" s="30">
        <v>80.0</v>
      </c>
      <c r="H27" s="30">
        <v>80.0</v>
      </c>
      <c r="I27" s="31"/>
      <c r="J27" s="32">
        <f t="shared" si="2"/>
        <v>64</v>
      </c>
      <c r="K27" s="31"/>
      <c r="L27" s="30">
        <v>100.0</v>
      </c>
      <c r="M27" s="31"/>
      <c r="N27" s="32">
        <f t="shared" si="3"/>
        <v>40</v>
      </c>
      <c r="O27" s="31"/>
      <c r="P27" s="30">
        <v>80.0</v>
      </c>
      <c r="Q27" s="31"/>
      <c r="R27" s="32">
        <f t="shared" si="4"/>
        <v>32</v>
      </c>
      <c r="S27" s="31"/>
      <c r="T27" s="31"/>
      <c r="U27" s="31"/>
      <c r="V27" s="32" t="str">
        <f t="shared" si="5"/>
        <v/>
      </c>
      <c r="W27" s="31"/>
      <c r="X27" s="54">
        <v>82.0</v>
      </c>
      <c r="Y27" s="31"/>
      <c r="Z27" s="32">
        <f t="shared" si="6"/>
        <v>32.8</v>
      </c>
      <c r="AA27" s="31"/>
      <c r="AB27" s="30">
        <v>90.0</v>
      </c>
      <c r="AC27" s="31"/>
      <c r="AD27" s="32">
        <f t="shared" si="7"/>
        <v>36</v>
      </c>
      <c r="AE27" s="31"/>
      <c r="AF27" s="31"/>
      <c r="AG27" s="31"/>
      <c r="AH27" s="32" t="str">
        <f t="shared" si="8"/>
        <v/>
      </c>
      <c r="AI27" s="33">
        <f t="shared" si="9"/>
        <v>256.8</v>
      </c>
      <c r="AJ27" s="33">
        <f t="shared" si="10"/>
        <v>42.8</v>
      </c>
      <c r="AK27" s="34">
        <f t="shared" si="11"/>
        <v>12</v>
      </c>
      <c r="AL27" s="35" t="str">
        <f t="shared" si="12"/>
        <v>D (Kurang)</v>
      </c>
    </row>
    <row r="28" ht="25.5" customHeight="1">
      <c r="A28" s="36">
        <v>22.0</v>
      </c>
      <c r="B28" s="37" t="s">
        <v>92</v>
      </c>
      <c r="C28" s="38">
        <v>85.0</v>
      </c>
      <c r="D28" s="38">
        <v>45.0</v>
      </c>
      <c r="E28" s="39"/>
      <c r="F28" s="32">
        <f t="shared" si="1"/>
        <v>52</v>
      </c>
      <c r="G28" s="38">
        <v>70.0</v>
      </c>
      <c r="H28" s="38">
        <v>70.0</v>
      </c>
      <c r="I28" s="39"/>
      <c r="J28" s="32">
        <f t="shared" si="2"/>
        <v>56</v>
      </c>
      <c r="K28" s="39"/>
      <c r="L28" s="38">
        <v>40.0</v>
      </c>
      <c r="M28" s="39"/>
      <c r="N28" s="32">
        <f t="shared" si="3"/>
        <v>16</v>
      </c>
      <c r="O28" s="39"/>
      <c r="P28" s="38">
        <v>78.0</v>
      </c>
      <c r="Q28" s="39"/>
      <c r="R28" s="32">
        <f t="shared" si="4"/>
        <v>31.2</v>
      </c>
      <c r="S28" s="39"/>
      <c r="T28" s="39"/>
      <c r="U28" s="39"/>
      <c r="V28" s="32" t="str">
        <f t="shared" si="5"/>
        <v/>
      </c>
      <c r="W28" s="39"/>
      <c r="X28" s="54">
        <v>82.0</v>
      </c>
      <c r="Y28" s="39"/>
      <c r="Z28" s="32">
        <f t="shared" si="6"/>
        <v>32.8</v>
      </c>
      <c r="AA28" s="39"/>
      <c r="AB28" s="38">
        <v>80.0</v>
      </c>
      <c r="AC28" s="39"/>
      <c r="AD28" s="32">
        <f t="shared" si="7"/>
        <v>32</v>
      </c>
      <c r="AE28" s="39"/>
      <c r="AF28" s="39"/>
      <c r="AG28" s="39"/>
      <c r="AH28" s="32" t="str">
        <f t="shared" si="8"/>
        <v/>
      </c>
      <c r="AI28" s="33">
        <f t="shared" si="9"/>
        <v>220</v>
      </c>
      <c r="AJ28" s="33">
        <f t="shared" si="10"/>
        <v>36.7</v>
      </c>
      <c r="AK28" s="34">
        <f t="shared" si="11"/>
        <v>24</v>
      </c>
      <c r="AL28" s="35" t="str">
        <f t="shared" si="12"/>
        <v>D (Kurang)</v>
      </c>
    </row>
    <row r="29" ht="25.5" customHeight="1">
      <c r="A29" s="28">
        <v>23.0</v>
      </c>
      <c r="B29" s="29" t="s">
        <v>93</v>
      </c>
      <c r="C29" s="30">
        <v>85.0</v>
      </c>
      <c r="D29" s="30">
        <v>65.0</v>
      </c>
      <c r="E29" s="31"/>
      <c r="F29" s="32">
        <f t="shared" si="1"/>
        <v>60</v>
      </c>
      <c r="G29" s="30">
        <v>80.0</v>
      </c>
      <c r="H29" s="30">
        <v>80.0</v>
      </c>
      <c r="I29" s="31"/>
      <c r="J29" s="32">
        <f t="shared" si="2"/>
        <v>64</v>
      </c>
      <c r="K29" s="31"/>
      <c r="L29" s="30">
        <v>90.0</v>
      </c>
      <c r="M29" s="31"/>
      <c r="N29" s="32">
        <f t="shared" si="3"/>
        <v>36</v>
      </c>
      <c r="O29" s="31"/>
      <c r="P29" s="30">
        <v>97.0</v>
      </c>
      <c r="Q29" s="31"/>
      <c r="R29" s="32">
        <f t="shared" si="4"/>
        <v>38.8</v>
      </c>
      <c r="S29" s="31"/>
      <c r="T29" s="31"/>
      <c r="U29" s="31"/>
      <c r="V29" s="32" t="str">
        <f t="shared" si="5"/>
        <v/>
      </c>
      <c r="W29" s="31"/>
      <c r="X29" s="54">
        <v>84.0</v>
      </c>
      <c r="Y29" s="31"/>
      <c r="Z29" s="32">
        <f t="shared" si="6"/>
        <v>33.6</v>
      </c>
      <c r="AA29" s="31"/>
      <c r="AB29" s="30">
        <v>87.0</v>
      </c>
      <c r="AC29" s="31"/>
      <c r="AD29" s="32">
        <f t="shared" si="7"/>
        <v>34.8</v>
      </c>
      <c r="AE29" s="31"/>
      <c r="AF29" s="31"/>
      <c r="AG29" s="31"/>
      <c r="AH29" s="32" t="str">
        <f t="shared" si="8"/>
        <v/>
      </c>
      <c r="AI29" s="33">
        <f t="shared" si="9"/>
        <v>267.2</v>
      </c>
      <c r="AJ29" s="33">
        <f t="shared" si="10"/>
        <v>44.5</v>
      </c>
      <c r="AK29" s="34">
        <f t="shared" si="11"/>
        <v>5</v>
      </c>
      <c r="AL29" s="35" t="str">
        <f t="shared" si="12"/>
        <v>D (Kurang)</v>
      </c>
    </row>
    <row r="30" ht="25.5" customHeight="1">
      <c r="A30" s="36">
        <v>24.0</v>
      </c>
      <c r="B30" s="37" t="s">
        <v>94</v>
      </c>
      <c r="C30" s="38">
        <v>85.0</v>
      </c>
      <c r="D30" s="38">
        <v>70.0</v>
      </c>
      <c r="E30" s="39"/>
      <c r="F30" s="32">
        <f t="shared" si="1"/>
        <v>62</v>
      </c>
      <c r="G30" s="38">
        <v>80.0</v>
      </c>
      <c r="H30" s="38">
        <v>85.0</v>
      </c>
      <c r="I30" s="39"/>
      <c r="J30" s="32">
        <f t="shared" si="2"/>
        <v>66</v>
      </c>
      <c r="K30" s="39"/>
      <c r="L30" s="38">
        <v>70.0</v>
      </c>
      <c r="M30" s="39"/>
      <c r="N30" s="32">
        <f t="shared" si="3"/>
        <v>28</v>
      </c>
      <c r="O30" s="39"/>
      <c r="P30" s="38">
        <v>71.0</v>
      </c>
      <c r="Q30" s="39"/>
      <c r="R30" s="32">
        <f t="shared" si="4"/>
        <v>28.4</v>
      </c>
      <c r="S30" s="39"/>
      <c r="T30" s="39"/>
      <c r="U30" s="39"/>
      <c r="V30" s="32" t="str">
        <f t="shared" si="5"/>
        <v/>
      </c>
      <c r="W30" s="39"/>
      <c r="X30" s="54">
        <v>85.0</v>
      </c>
      <c r="Y30" s="39"/>
      <c r="Z30" s="32">
        <f t="shared" si="6"/>
        <v>34</v>
      </c>
      <c r="AA30" s="39"/>
      <c r="AB30" s="38">
        <v>80.0</v>
      </c>
      <c r="AC30" s="39"/>
      <c r="AD30" s="32">
        <f t="shared" si="7"/>
        <v>32</v>
      </c>
      <c r="AE30" s="39"/>
      <c r="AF30" s="39"/>
      <c r="AG30" s="39"/>
      <c r="AH30" s="32" t="str">
        <f t="shared" si="8"/>
        <v/>
      </c>
      <c r="AI30" s="33">
        <f t="shared" si="9"/>
        <v>250.4</v>
      </c>
      <c r="AJ30" s="33">
        <f t="shared" si="10"/>
        <v>41.7</v>
      </c>
      <c r="AK30" s="34">
        <f t="shared" si="11"/>
        <v>20</v>
      </c>
      <c r="AL30" s="35" t="str">
        <f t="shared" si="12"/>
        <v>D (Kurang)</v>
      </c>
    </row>
    <row r="31" ht="25.5" customHeight="1">
      <c r="A31" s="28">
        <v>25.0</v>
      </c>
      <c r="B31" s="29" t="s">
        <v>95</v>
      </c>
      <c r="C31" s="30">
        <v>85.0</v>
      </c>
      <c r="D31" s="30">
        <v>50.0</v>
      </c>
      <c r="E31" s="31"/>
      <c r="F31" s="32">
        <f t="shared" si="1"/>
        <v>54</v>
      </c>
      <c r="G31" s="30">
        <v>79.0</v>
      </c>
      <c r="H31" s="30">
        <v>79.0</v>
      </c>
      <c r="I31" s="31"/>
      <c r="J31" s="32">
        <f t="shared" si="2"/>
        <v>63.2</v>
      </c>
      <c r="K31" s="31"/>
      <c r="L31" s="30">
        <v>90.0</v>
      </c>
      <c r="M31" s="31"/>
      <c r="N31" s="32">
        <f t="shared" si="3"/>
        <v>36</v>
      </c>
      <c r="O31" s="31"/>
      <c r="P31" s="30">
        <v>93.0</v>
      </c>
      <c r="Q31" s="31"/>
      <c r="R31" s="32">
        <f t="shared" si="4"/>
        <v>37.2</v>
      </c>
      <c r="S31" s="31"/>
      <c r="T31" s="31"/>
      <c r="U31" s="31"/>
      <c r="V31" s="32" t="str">
        <f t="shared" si="5"/>
        <v/>
      </c>
      <c r="W31" s="31"/>
      <c r="X31" s="55">
        <v>81.0</v>
      </c>
      <c r="Y31" s="31"/>
      <c r="Z31" s="32">
        <f t="shared" si="6"/>
        <v>32.4</v>
      </c>
      <c r="AA31" s="31"/>
      <c r="AB31" s="30">
        <v>98.0</v>
      </c>
      <c r="AC31" s="31"/>
      <c r="AD31" s="32">
        <f t="shared" si="7"/>
        <v>39.2</v>
      </c>
      <c r="AE31" s="31"/>
      <c r="AF31" s="31"/>
      <c r="AG31" s="31"/>
      <c r="AH31" s="32" t="str">
        <f t="shared" si="8"/>
        <v/>
      </c>
      <c r="AI31" s="33">
        <f t="shared" si="9"/>
        <v>262</v>
      </c>
      <c r="AJ31" s="33">
        <f t="shared" si="10"/>
        <v>43.7</v>
      </c>
      <c r="AK31" s="34">
        <f t="shared" si="11"/>
        <v>8</v>
      </c>
      <c r="AL31" s="35" t="str">
        <f t="shared" si="12"/>
        <v>D (Kurang)</v>
      </c>
    </row>
    <row r="32" ht="21.75" customHeight="1">
      <c r="A32" s="40" t="s">
        <v>44</v>
      </c>
      <c r="B32" s="41"/>
      <c r="C32" s="42">
        <f t="shared" ref="C32:AJ32" si="13">IFERROR(ROUND(AVERAGE(C7:C31), 1), "")</f>
        <v>85</v>
      </c>
      <c r="D32" s="42">
        <f t="shared" si="13"/>
        <v>62.3</v>
      </c>
      <c r="E32" s="42" t="str">
        <f t="shared" si="13"/>
        <v/>
      </c>
      <c r="F32" s="43">
        <f t="shared" si="13"/>
        <v>57.9</v>
      </c>
      <c r="G32" s="42">
        <f t="shared" si="13"/>
        <v>78.6</v>
      </c>
      <c r="H32" s="42">
        <f t="shared" si="13"/>
        <v>82</v>
      </c>
      <c r="I32" s="42" t="str">
        <f t="shared" si="13"/>
        <v/>
      </c>
      <c r="J32" s="43">
        <f t="shared" si="13"/>
        <v>64.2</v>
      </c>
      <c r="K32" s="42" t="str">
        <f t="shared" si="13"/>
        <v/>
      </c>
      <c r="L32" s="42">
        <f t="shared" si="13"/>
        <v>81.7</v>
      </c>
      <c r="M32" s="42" t="str">
        <f t="shared" si="13"/>
        <v/>
      </c>
      <c r="N32" s="43">
        <f t="shared" si="13"/>
        <v>32.7</v>
      </c>
      <c r="O32" s="42" t="str">
        <f t="shared" si="13"/>
        <v/>
      </c>
      <c r="P32" s="42">
        <f t="shared" si="13"/>
        <v>82.9</v>
      </c>
      <c r="Q32" s="42" t="str">
        <f t="shared" si="13"/>
        <v/>
      </c>
      <c r="R32" s="43">
        <f t="shared" si="13"/>
        <v>33.2</v>
      </c>
      <c r="S32" s="42" t="str">
        <f t="shared" si="13"/>
        <v/>
      </c>
      <c r="T32" s="42" t="str">
        <f t="shared" si="13"/>
        <v/>
      </c>
      <c r="U32" s="42" t="str">
        <f t="shared" si="13"/>
        <v/>
      </c>
      <c r="V32" s="43" t="str">
        <f t="shared" si="13"/>
        <v/>
      </c>
      <c r="W32" s="42" t="str">
        <f t="shared" si="13"/>
        <v/>
      </c>
      <c r="X32" s="42">
        <f t="shared" si="13"/>
        <v>82.4</v>
      </c>
      <c r="Y32" s="42" t="str">
        <f t="shared" si="13"/>
        <v/>
      </c>
      <c r="Z32" s="43">
        <f t="shared" si="13"/>
        <v>33</v>
      </c>
      <c r="AA32" s="42" t="str">
        <f t="shared" si="13"/>
        <v/>
      </c>
      <c r="AB32" s="42">
        <f t="shared" si="13"/>
        <v>87.3</v>
      </c>
      <c r="AC32" s="42" t="str">
        <f t="shared" si="13"/>
        <v/>
      </c>
      <c r="AD32" s="43">
        <f t="shared" si="13"/>
        <v>34.9</v>
      </c>
      <c r="AE32" s="42" t="str">
        <f t="shared" si="13"/>
        <v/>
      </c>
      <c r="AF32" s="42" t="str">
        <f t="shared" si="13"/>
        <v/>
      </c>
      <c r="AG32" s="42" t="str">
        <f t="shared" si="13"/>
        <v/>
      </c>
      <c r="AH32" s="43" t="str">
        <f t="shared" si="13"/>
        <v/>
      </c>
      <c r="AI32" s="42">
        <f t="shared" si="13"/>
        <v>252</v>
      </c>
      <c r="AJ32" s="42">
        <f t="shared" si="13"/>
        <v>42.5</v>
      </c>
      <c r="AK32" s="42" t="s">
        <v>45</v>
      </c>
      <c r="AL32" s="43" t="s">
        <v>45</v>
      </c>
    </row>
    <row r="33" ht="21.75" customHeight="1">
      <c r="A33" s="44" t="s">
        <v>46</v>
      </c>
      <c r="B33" s="45"/>
      <c r="C33" s="46">
        <f t="shared" ref="C33:AJ33" si="14">IFERROR(MAX(C7:C31), "")</f>
        <v>85</v>
      </c>
      <c r="D33" s="46">
        <f t="shared" si="14"/>
        <v>95</v>
      </c>
      <c r="E33" s="46">
        <f t="shared" si="14"/>
        <v>0</v>
      </c>
      <c r="F33" s="47">
        <f t="shared" si="14"/>
        <v>72</v>
      </c>
      <c r="G33" s="46">
        <f t="shared" si="14"/>
        <v>88</v>
      </c>
      <c r="H33" s="46">
        <f t="shared" si="14"/>
        <v>88</v>
      </c>
      <c r="I33" s="46">
        <f t="shared" si="14"/>
        <v>0</v>
      </c>
      <c r="J33" s="47">
        <f t="shared" si="14"/>
        <v>70.4</v>
      </c>
      <c r="K33" s="46">
        <f t="shared" si="14"/>
        <v>0</v>
      </c>
      <c r="L33" s="46">
        <f t="shared" si="14"/>
        <v>100</v>
      </c>
      <c r="M33" s="46">
        <f t="shared" si="14"/>
        <v>0</v>
      </c>
      <c r="N33" s="47">
        <f t="shared" si="14"/>
        <v>40</v>
      </c>
      <c r="O33" s="46">
        <f t="shared" si="14"/>
        <v>0</v>
      </c>
      <c r="P33" s="46">
        <f t="shared" si="14"/>
        <v>100</v>
      </c>
      <c r="Q33" s="46">
        <f t="shared" si="14"/>
        <v>0</v>
      </c>
      <c r="R33" s="47">
        <f t="shared" si="14"/>
        <v>40</v>
      </c>
      <c r="S33" s="46">
        <f t="shared" si="14"/>
        <v>0</v>
      </c>
      <c r="T33" s="46">
        <f t="shared" si="14"/>
        <v>0</v>
      </c>
      <c r="U33" s="46">
        <f t="shared" si="14"/>
        <v>0</v>
      </c>
      <c r="V33" s="47">
        <f t="shared" si="14"/>
        <v>0</v>
      </c>
      <c r="W33" s="46">
        <f t="shared" si="14"/>
        <v>0</v>
      </c>
      <c r="X33" s="46">
        <f t="shared" si="14"/>
        <v>85</v>
      </c>
      <c r="Y33" s="46">
        <f t="shared" si="14"/>
        <v>0</v>
      </c>
      <c r="Z33" s="47">
        <f t="shared" si="14"/>
        <v>34</v>
      </c>
      <c r="AA33" s="46">
        <f t="shared" si="14"/>
        <v>0</v>
      </c>
      <c r="AB33" s="46">
        <f t="shared" si="14"/>
        <v>98</v>
      </c>
      <c r="AC33" s="46">
        <f t="shared" si="14"/>
        <v>0</v>
      </c>
      <c r="AD33" s="47">
        <f t="shared" si="14"/>
        <v>39.2</v>
      </c>
      <c r="AE33" s="46">
        <f t="shared" si="14"/>
        <v>0</v>
      </c>
      <c r="AF33" s="46">
        <f t="shared" si="14"/>
        <v>0</v>
      </c>
      <c r="AG33" s="46">
        <f t="shared" si="14"/>
        <v>0</v>
      </c>
      <c r="AH33" s="47">
        <f t="shared" si="14"/>
        <v>0</v>
      </c>
      <c r="AI33" s="46">
        <f t="shared" si="14"/>
        <v>290.4</v>
      </c>
      <c r="AJ33" s="46">
        <f t="shared" si="14"/>
        <v>48.4</v>
      </c>
      <c r="AK33" s="46" t="s">
        <v>45</v>
      </c>
      <c r="AL33" s="47" t="s">
        <v>45</v>
      </c>
    </row>
    <row r="34" ht="21.75" customHeight="1">
      <c r="A34" s="48" t="s">
        <v>47</v>
      </c>
      <c r="B34" s="49"/>
      <c r="C34" s="50">
        <f t="shared" ref="C34:AJ34" si="15">IFERROR(MIN(C7:C31), "")</f>
        <v>85</v>
      </c>
      <c r="D34" s="50">
        <f t="shared" si="15"/>
        <v>35</v>
      </c>
      <c r="E34" s="50">
        <f t="shared" si="15"/>
        <v>0</v>
      </c>
      <c r="F34" s="51">
        <f t="shared" si="15"/>
        <v>34</v>
      </c>
      <c r="G34" s="50">
        <f t="shared" si="15"/>
        <v>70</v>
      </c>
      <c r="H34" s="50">
        <f t="shared" si="15"/>
        <v>70</v>
      </c>
      <c r="I34" s="50">
        <f t="shared" si="15"/>
        <v>0</v>
      </c>
      <c r="J34" s="51">
        <f t="shared" si="15"/>
        <v>56</v>
      </c>
      <c r="K34" s="50">
        <f t="shared" si="15"/>
        <v>0</v>
      </c>
      <c r="L34" s="50">
        <f t="shared" si="15"/>
        <v>40</v>
      </c>
      <c r="M34" s="50">
        <f t="shared" si="15"/>
        <v>0</v>
      </c>
      <c r="N34" s="51">
        <f t="shared" si="15"/>
        <v>16</v>
      </c>
      <c r="O34" s="50">
        <f t="shared" si="15"/>
        <v>0</v>
      </c>
      <c r="P34" s="50">
        <f t="shared" si="15"/>
        <v>0</v>
      </c>
      <c r="Q34" s="50">
        <f t="shared" si="15"/>
        <v>0</v>
      </c>
      <c r="R34" s="51">
        <f t="shared" si="15"/>
        <v>0</v>
      </c>
      <c r="S34" s="50">
        <f t="shared" si="15"/>
        <v>0</v>
      </c>
      <c r="T34" s="50">
        <f t="shared" si="15"/>
        <v>0</v>
      </c>
      <c r="U34" s="50">
        <f t="shared" si="15"/>
        <v>0</v>
      </c>
      <c r="V34" s="51">
        <f t="shared" si="15"/>
        <v>0</v>
      </c>
      <c r="W34" s="50">
        <f t="shared" si="15"/>
        <v>0</v>
      </c>
      <c r="X34" s="50">
        <f t="shared" si="15"/>
        <v>80</v>
      </c>
      <c r="Y34" s="50">
        <f t="shared" si="15"/>
        <v>0</v>
      </c>
      <c r="Z34" s="51">
        <f t="shared" si="15"/>
        <v>32</v>
      </c>
      <c r="AA34" s="50">
        <f t="shared" si="15"/>
        <v>0</v>
      </c>
      <c r="AB34" s="50">
        <f t="shared" si="15"/>
        <v>75</v>
      </c>
      <c r="AC34" s="50">
        <f t="shared" si="15"/>
        <v>0</v>
      </c>
      <c r="AD34" s="51">
        <f t="shared" si="15"/>
        <v>30</v>
      </c>
      <c r="AE34" s="50">
        <f t="shared" si="15"/>
        <v>0</v>
      </c>
      <c r="AF34" s="50">
        <f t="shared" si="15"/>
        <v>0</v>
      </c>
      <c r="AG34" s="50">
        <f t="shared" si="15"/>
        <v>0</v>
      </c>
      <c r="AH34" s="51">
        <f t="shared" si="15"/>
        <v>0</v>
      </c>
      <c r="AI34" s="50">
        <f t="shared" si="15"/>
        <v>159.6</v>
      </c>
      <c r="AJ34" s="50">
        <f t="shared" si="15"/>
        <v>31.9</v>
      </c>
      <c r="AK34" s="50" t="s">
        <v>45</v>
      </c>
      <c r="AL34" s="51" t="s">
        <v>45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5:J5"/>
    <mergeCell ref="K5:N5"/>
    <mergeCell ref="A32:B32"/>
    <mergeCell ref="A33:B33"/>
    <mergeCell ref="A34:B34"/>
    <mergeCell ref="O5:R5"/>
    <mergeCell ref="S5:V5"/>
    <mergeCell ref="W5:Z5"/>
    <mergeCell ref="AA5:AD5"/>
    <mergeCell ref="AE5:AH5"/>
    <mergeCell ref="AI5:AL5"/>
    <mergeCell ref="A1:AL1"/>
    <mergeCell ref="A2:AL2"/>
    <mergeCell ref="A3:B3"/>
    <mergeCell ref="C3:AH3"/>
    <mergeCell ref="AI3:AL3"/>
    <mergeCell ref="A5:B5"/>
    <mergeCell ref="C5:F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86"/>
    <col customWidth="1" min="2" max="2" width="23.29"/>
    <col customWidth="1" min="3" max="5" width="5.43"/>
    <col customWidth="1" min="6" max="6" width="6.86"/>
    <col customWidth="1" min="7" max="9" width="5.43"/>
    <col customWidth="1" min="10" max="10" width="6.86"/>
    <col customWidth="1" min="11" max="13" width="5.43"/>
    <col customWidth="1" min="14" max="14" width="6.86"/>
    <col customWidth="1" min="15" max="17" width="5.43"/>
    <col customWidth="1" min="18" max="18" width="6.86"/>
    <col customWidth="1" min="19" max="21" width="5.43"/>
    <col customWidth="1" min="22" max="22" width="6.86"/>
    <col customWidth="1" min="23" max="25" width="5.43"/>
    <col customWidth="1" min="26" max="26" width="6.86"/>
    <col customWidth="1" min="27" max="29" width="5.43"/>
    <col customWidth="1" min="30" max="30" width="6.86"/>
    <col customWidth="1" min="31" max="33" width="5.43"/>
    <col customWidth="1" min="34" max="34" width="6.86"/>
    <col customWidth="1" min="35" max="36" width="7.43"/>
    <col customWidth="1" min="37" max="37" width="6.0"/>
    <col customWidth="1" min="38" max="38" width="13.0"/>
  </cols>
  <sheetData>
    <row r="1" ht="27.75" customHeight="1">
      <c r="A1" s="1" t="s">
        <v>96</v>
      </c>
    </row>
    <row r="2" ht="18.0" customHeight="1">
      <c r="A2" s="2" t="s">
        <v>97</v>
      </c>
    </row>
    <row r="3" ht="18.0" customHeight="1">
      <c r="A3" s="3" t="s">
        <v>98</v>
      </c>
      <c r="C3" s="4" t="s">
        <v>3</v>
      </c>
      <c r="AI3" s="5" t="str">
        <f>HYPERLINK("#'Dashboard &amp; Panduan'!A1", "⬅ Kembali ke Menu")</f>
        <v>⬅ Kembali ke Menu</v>
      </c>
    </row>
    <row r="4" ht="6.0" customHeight="1"/>
    <row r="5" ht="24.0" customHeight="1">
      <c r="A5" s="6" t="s">
        <v>4</v>
      </c>
      <c r="B5" s="7"/>
      <c r="C5" s="8" t="s">
        <v>5</v>
      </c>
      <c r="D5" s="9"/>
      <c r="E5" s="9"/>
      <c r="F5" s="7"/>
      <c r="G5" s="10" t="s">
        <v>6</v>
      </c>
      <c r="H5" s="9"/>
      <c r="I5" s="9"/>
      <c r="J5" s="7"/>
      <c r="K5" s="11" t="s">
        <v>7</v>
      </c>
      <c r="L5" s="9"/>
      <c r="M5" s="9"/>
      <c r="N5" s="7"/>
      <c r="O5" s="56" t="s">
        <v>8</v>
      </c>
      <c r="P5" s="9"/>
      <c r="Q5" s="9"/>
      <c r="R5" s="7"/>
      <c r="S5" s="13" t="s">
        <v>9</v>
      </c>
      <c r="T5" s="9"/>
      <c r="U5" s="9"/>
      <c r="V5" s="7"/>
      <c r="W5" s="14" t="s">
        <v>10</v>
      </c>
      <c r="X5" s="9"/>
      <c r="Y5" s="9"/>
      <c r="Z5" s="7"/>
      <c r="AA5" s="15" t="s">
        <v>11</v>
      </c>
      <c r="AB5" s="9"/>
      <c r="AC5" s="9"/>
      <c r="AD5" s="7"/>
      <c r="AE5" s="16" t="s">
        <v>12</v>
      </c>
      <c r="AF5" s="9"/>
      <c r="AG5" s="9"/>
      <c r="AH5" s="7"/>
      <c r="AI5" s="17" t="s">
        <v>13</v>
      </c>
      <c r="AJ5" s="9"/>
      <c r="AK5" s="9"/>
      <c r="AL5" s="7"/>
    </row>
    <row r="6" ht="19.5" customHeight="1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20" t="s">
        <v>19</v>
      </c>
      <c r="G6" s="21" t="s">
        <v>16</v>
      </c>
      <c r="H6" s="21" t="s">
        <v>17</v>
      </c>
      <c r="I6" s="21" t="s">
        <v>18</v>
      </c>
      <c r="J6" s="20" t="s">
        <v>19</v>
      </c>
      <c r="K6" s="22" t="s">
        <v>16</v>
      </c>
      <c r="L6" s="22" t="s">
        <v>17</v>
      </c>
      <c r="M6" s="22" t="s">
        <v>18</v>
      </c>
      <c r="N6" s="20" t="s">
        <v>19</v>
      </c>
      <c r="O6" s="23" t="s">
        <v>16</v>
      </c>
      <c r="P6" s="23" t="s">
        <v>17</v>
      </c>
      <c r="Q6" s="23" t="s">
        <v>18</v>
      </c>
      <c r="R6" s="20" t="s">
        <v>19</v>
      </c>
      <c r="S6" s="24" t="s">
        <v>16</v>
      </c>
      <c r="T6" s="24" t="s">
        <v>17</v>
      </c>
      <c r="U6" s="24" t="s">
        <v>18</v>
      </c>
      <c r="V6" s="20" t="s">
        <v>19</v>
      </c>
      <c r="W6" s="25" t="s">
        <v>16</v>
      </c>
      <c r="X6" s="25" t="s">
        <v>17</v>
      </c>
      <c r="Y6" s="25" t="s">
        <v>18</v>
      </c>
      <c r="Z6" s="20" t="s">
        <v>19</v>
      </c>
      <c r="AA6" s="18" t="s">
        <v>16</v>
      </c>
      <c r="AB6" s="18" t="s">
        <v>17</v>
      </c>
      <c r="AC6" s="18" t="s">
        <v>18</v>
      </c>
      <c r="AD6" s="20" t="s">
        <v>19</v>
      </c>
      <c r="AE6" s="26" t="s">
        <v>16</v>
      </c>
      <c r="AF6" s="26" t="s">
        <v>17</v>
      </c>
      <c r="AG6" s="26" t="s">
        <v>18</v>
      </c>
      <c r="AH6" s="20" t="s">
        <v>19</v>
      </c>
      <c r="AI6" s="27" t="s">
        <v>20</v>
      </c>
      <c r="AJ6" s="27" t="s">
        <v>21</v>
      </c>
      <c r="AK6" s="27" t="s">
        <v>22</v>
      </c>
      <c r="AL6" s="27" t="s">
        <v>23</v>
      </c>
    </row>
    <row r="7" ht="25.5" customHeight="1">
      <c r="A7" s="28">
        <v>1.0</v>
      </c>
      <c r="B7" s="29" t="s">
        <v>99</v>
      </c>
      <c r="C7" s="30">
        <v>85.0</v>
      </c>
      <c r="D7" s="30">
        <v>81.0</v>
      </c>
      <c r="E7" s="31"/>
      <c r="F7" s="32">
        <f t="shared" ref="F7:F15" si="1">IF(COUNT(C7:E7)=0, "", ROUND(C7*0.4 + D7*0.4 + E7*0.2, 1))</f>
        <v>66.4</v>
      </c>
      <c r="G7" s="31"/>
      <c r="H7" s="31"/>
      <c r="I7" s="31"/>
      <c r="J7" s="32" t="str">
        <f t="shared" ref="J7:J15" si="2">IF(COUNT(G7:I7)=0, "", ROUND(G7*0.4 + H7*0.4 + I7*0.2, 1))</f>
        <v/>
      </c>
      <c r="K7" s="31"/>
      <c r="L7" s="30">
        <v>50.0</v>
      </c>
      <c r="M7" s="31"/>
      <c r="N7" s="32">
        <f t="shared" ref="N7:N15" si="3">IF(COUNT(K7:M7)=0, "", ROUND(K7*0.4 + L7*0.4 + M7*0.2, 1))</f>
        <v>20</v>
      </c>
      <c r="O7" s="30">
        <v>80.0</v>
      </c>
      <c r="P7" s="30">
        <v>50.0</v>
      </c>
      <c r="Q7" s="31"/>
      <c r="R7" s="32">
        <f t="shared" ref="R7:R15" si="4">IF(COUNT(O7:Q7)=0, "", ROUND(O7*0.4 + P7*0.4 + Q7*0.2, 1))</f>
        <v>52</v>
      </c>
      <c r="S7" s="30">
        <v>78.0</v>
      </c>
      <c r="T7" s="30">
        <v>80.0</v>
      </c>
      <c r="U7" s="31"/>
      <c r="V7" s="32">
        <f t="shared" ref="V7:V15" si="5">IF(COUNT(S7:U7)=0, "", ROUND(S7*0.4 + T7*0.4 + U7*0.2, 1))</f>
        <v>63.2</v>
      </c>
      <c r="W7" s="31"/>
      <c r="X7" s="31">
        <v>85.0</v>
      </c>
      <c r="Y7" s="31"/>
      <c r="Z7" s="32">
        <f t="shared" ref="Z7:Z15" si="6">IF(COUNT(W7:Y7)=0, "", ROUND(W7*0.4 + X7*0.4 + Y7*0.2, 1))</f>
        <v>34</v>
      </c>
      <c r="AA7" s="31"/>
      <c r="AB7" s="30">
        <v>92.0</v>
      </c>
      <c r="AC7" s="31"/>
      <c r="AD7" s="32">
        <f t="shared" ref="AD7:AD15" si="7">IF(COUNT(AA7:AC7)=0, "", ROUND(AA7*0.4 + AB7*0.4 + AC7*0.2, 1))</f>
        <v>36.8</v>
      </c>
      <c r="AE7" s="31"/>
      <c r="AF7" s="31"/>
      <c r="AG7" s="31"/>
      <c r="AH7" s="32" t="str">
        <f t="shared" ref="AH7:AH15" si="8">IF(COUNT(AE7:AG7)=0, "", ROUND(AE7*0.4 + AF7*0.4 + AG7*0.2, 1))</f>
        <v/>
      </c>
      <c r="AI7" s="33">
        <f t="shared" ref="AI7:AI15" si="9">IFERROR(SUM(F7,J7,N7,R7,V7,Z7,AD7,AH7), "")</f>
        <v>272.4</v>
      </c>
      <c r="AJ7" s="33">
        <f t="shared" ref="AJ7:AJ15" si="10">IFERROR(ROUND(AVERAGE(F7,J7,N7,R7,V7,Z7,AD7,AH7), 1), "")</f>
        <v>45.4</v>
      </c>
      <c r="AK7" s="34">
        <f t="shared" ref="AK7:AK15" si="11">IF(AJ7="", "", RANK(AJ7, $AJ$7:$AJ$15))</f>
        <v>7</v>
      </c>
      <c r="AL7" s="35" t="str">
        <f t="shared" ref="AL7:AL15" si="12">IF(AJ7="", "", IF(AJ7&gt;=90, "A (Sangat Baik)", IF(AJ7&gt;=80, "B (Baik)", IF(AJ7&gt;=70, "C (Cukup)", "D (Kurang)"))))</f>
        <v>D (Kurang)</v>
      </c>
    </row>
    <row r="8" ht="25.5" customHeight="1">
      <c r="A8" s="36">
        <v>2.0</v>
      </c>
      <c r="B8" s="37" t="s">
        <v>100</v>
      </c>
      <c r="C8" s="38">
        <v>85.0</v>
      </c>
      <c r="D8" s="38">
        <v>94.0</v>
      </c>
      <c r="E8" s="39"/>
      <c r="F8" s="32">
        <f t="shared" si="1"/>
        <v>71.6</v>
      </c>
      <c r="G8" s="39"/>
      <c r="H8" s="39"/>
      <c r="I8" s="39"/>
      <c r="J8" s="32" t="str">
        <f t="shared" si="2"/>
        <v/>
      </c>
      <c r="K8" s="39"/>
      <c r="L8" s="38">
        <v>50.0</v>
      </c>
      <c r="M8" s="39"/>
      <c r="N8" s="32">
        <f t="shared" si="3"/>
        <v>20</v>
      </c>
      <c r="O8" s="38">
        <v>90.0</v>
      </c>
      <c r="P8" s="38">
        <v>80.0</v>
      </c>
      <c r="Q8" s="39"/>
      <c r="R8" s="32">
        <f t="shared" si="4"/>
        <v>68</v>
      </c>
      <c r="S8" s="38">
        <v>78.0</v>
      </c>
      <c r="T8" s="38">
        <v>78.0</v>
      </c>
      <c r="U8" s="39"/>
      <c r="V8" s="32">
        <f t="shared" si="5"/>
        <v>62.4</v>
      </c>
      <c r="W8" s="39"/>
      <c r="X8" s="31">
        <v>84.0</v>
      </c>
      <c r="Y8" s="39"/>
      <c r="Z8" s="32">
        <f t="shared" si="6"/>
        <v>33.6</v>
      </c>
      <c r="AA8" s="39"/>
      <c r="AB8" s="38">
        <v>90.0</v>
      </c>
      <c r="AC8" s="39"/>
      <c r="AD8" s="32">
        <f t="shared" si="7"/>
        <v>36</v>
      </c>
      <c r="AE8" s="39"/>
      <c r="AF8" s="39"/>
      <c r="AG8" s="39"/>
      <c r="AH8" s="32" t="str">
        <f t="shared" si="8"/>
        <v/>
      </c>
      <c r="AI8" s="33">
        <f t="shared" si="9"/>
        <v>291.6</v>
      </c>
      <c r="AJ8" s="33">
        <f t="shared" si="10"/>
        <v>48.6</v>
      </c>
      <c r="AK8" s="34">
        <f t="shared" si="11"/>
        <v>3</v>
      </c>
      <c r="AL8" s="35" t="str">
        <f t="shared" si="12"/>
        <v>D (Kurang)</v>
      </c>
    </row>
    <row r="9" ht="25.5" customHeight="1">
      <c r="A9" s="28">
        <v>3.0</v>
      </c>
      <c r="B9" s="29" t="s">
        <v>101</v>
      </c>
      <c r="C9" s="30">
        <v>85.0</v>
      </c>
      <c r="D9" s="30">
        <v>94.0</v>
      </c>
      <c r="E9" s="31"/>
      <c r="F9" s="32">
        <f t="shared" si="1"/>
        <v>71.6</v>
      </c>
      <c r="G9" s="31"/>
      <c r="H9" s="31"/>
      <c r="I9" s="31"/>
      <c r="J9" s="32" t="str">
        <f t="shared" si="2"/>
        <v/>
      </c>
      <c r="K9" s="31"/>
      <c r="L9" s="30">
        <v>90.0</v>
      </c>
      <c r="M9" s="31"/>
      <c r="N9" s="32">
        <f t="shared" si="3"/>
        <v>36</v>
      </c>
      <c r="O9" s="30">
        <v>80.0</v>
      </c>
      <c r="P9" s="30">
        <v>80.0</v>
      </c>
      <c r="Q9" s="31"/>
      <c r="R9" s="32">
        <f t="shared" si="4"/>
        <v>64</v>
      </c>
      <c r="S9" s="30">
        <v>78.0</v>
      </c>
      <c r="T9" s="30">
        <v>80.0</v>
      </c>
      <c r="U9" s="31"/>
      <c r="V9" s="32">
        <f t="shared" si="5"/>
        <v>63.2</v>
      </c>
      <c r="W9" s="31"/>
      <c r="X9" s="31">
        <v>83.0</v>
      </c>
      <c r="Y9" s="31"/>
      <c r="Z9" s="32">
        <f t="shared" si="6"/>
        <v>33.2</v>
      </c>
      <c r="AA9" s="31"/>
      <c r="AB9" s="30">
        <v>90.0</v>
      </c>
      <c r="AC9" s="31"/>
      <c r="AD9" s="32">
        <f t="shared" si="7"/>
        <v>36</v>
      </c>
      <c r="AE9" s="31"/>
      <c r="AF9" s="31"/>
      <c r="AG9" s="31"/>
      <c r="AH9" s="32" t="str">
        <f t="shared" si="8"/>
        <v/>
      </c>
      <c r="AI9" s="33">
        <f t="shared" si="9"/>
        <v>304</v>
      </c>
      <c r="AJ9" s="33">
        <f t="shared" si="10"/>
        <v>50.7</v>
      </c>
      <c r="AK9" s="34">
        <f t="shared" si="11"/>
        <v>2</v>
      </c>
      <c r="AL9" s="35" t="str">
        <f t="shared" si="12"/>
        <v>D (Kurang)</v>
      </c>
    </row>
    <row r="10" ht="25.5" customHeight="1">
      <c r="A10" s="36">
        <v>4.0</v>
      </c>
      <c r="B10" s="37" t="s">
        <v>102</v>
      </c>
      <c r="C10" s="38">
        <v>85.0</v>
      </c>
      <c r="D10" s="38">
        <v>81.0</v>
      </c>
      <c r="E10" s="39"/>
      <c r="F10" s="32">
        <f t="shared" si="1"/>
        <v>66.4</v>
      </c>
      <c r="G10" s="39"/>
      <c r="H10" s="39"/>
      <c r="I10" s="39"/>
      <c r="J10" s="32" t="str">
        <f t="shared" si="2"/>
        <v/>
      </c>
      <c r="K10" s="39"/>
      <c r="L10" s="38">
        <v>30.0</v>
      </c>
      <c r="M10" s="39"/>
      <c r="N10" s="32">
        <f t="shared" si="3"/>
        <v>12</v>
      </c>
      <c r="O10" s="38">
        <v>90.0</v>
      </c>
      <c r="P10" s="38">
        <v>70.0</v>
      </c>
      <c r="Q10" s="39"/>
      <c r="R10" s="32">
        <f t="shared" si="4"/>
        <v>64</v>
      </c>
      <c r="S10" s="38">
        <v>78.0</v>
      </c>
      <c r="T10" s="38">
        <v>80.0</v>
      </c>
      <c r="U10" s="39"/>
      <c r="V10" s="32">
        <f t="shared" si="5"/>
        <v>63.2</v>
      </c>
      <c r="W10" s="39"/>
      <c r="X10" s="31">
        <v>81.0</v>
      </c>
      <c r="Y10" s="39"/>
      <c r="Z10" s="32">
        <f t="shared" si="6"/>
        <v>32.4</v>
      </c>
      <c r="AA10" s="39"/>
      <c r="AB10" s="38">
        <v>80.0</v>
      </c>
      <c r="AC10" s="39"/>
      <c r="AD10" s="32">
        <f t="shared" si="7"/>
        <v>32</v>
      </c>
      <c r="AE10" s="39"/>
      <c r="AF10" s="39"/>
      <c r="AG10" s="39"/>
      <c r="AH10" s="32" t="str">
        <f t="shared" si="8"/>
        <v/>
      </c>
      <c r="AI10" s="33">
        <f t="shared" si="9"/>
        <v>270</v>
      </c>
      <c r="AJ10" s="33">
        <f t="shared" si="10"/>
        <v>45</v>
      </c>
      <c r="AK10" s="34">
        <f t="shared" si="11"/>
        <v>8</v>
      </c>
      <c r="AL10" s="35" t="str">
        <f t="shared" si="12"/>
        <v>D (Kurang)</v>
      </c>
    </row>
    <row r="11" ht="25.5" customHeight="1">
      <c r="A11" s="28">
        <v>5.0</v>
      </c>
      <c r="B11" s="29" t="s">
        <v>103</v>
      </c>
      <c r="C11" s="30">
        <v>85.0</v>
      </c>
      <c r="D11" s="30">
        <v>87.0</v>
      </c>
      <c r="E11" s="31"/>
      <c r="F11" s="32">
        <f t="shared" si="1"/>
        <v>68.8</v>
      </c>
      <c r="G11" s="31"/>
      <c r="H11" s="31"/>
      <c r="I11" s="31"/>
      <c r="J11" s="32" t="str">
        <f t="shared" si="2"/>
        <v/>
      </c>
      <c r="K11" s="30"/>
      <c r="L11" s="30">
        <v>20.0</v>
      </c>
      <c r="M11" s="30"/>
      <c r="N11" s="32">
        <f t="shared" si="3"/>
        <v>8</v>
      </c>
      <c r="O11" s="30">
        <v>50.0</v>
      </c>
      <c r="P11" s="30">
        <v>60.0</v>
      </c>
      <c r="Q11" s="31"/>
      <c r="R11" s="32">
        <f t="shared" si="4"/>
        <v>44</v>
      </c>
      <c r="S11" s="30">
        <v>75.0</v>
      </c>
      <c r="T11" s="30">
        <v>75.0</v>
      </c>
      <c r="U11" s="31"/>
      <c r="V11" s="32">
        <f t="shared" si="5"/>
        <v>60</v>
      </c>
      <c r="W11" s="31"/>
      <c r="X11" s="31">
        <v>83.0</v>
      </c>
      <c r="Y11" s="31"/>
      <c r="Z11" s="32">
        <f t="shared" si="6"/>
        <v>33.2</v>
      </c>
      <c r="AA11" s="31"/>
      <c r="AB11" s="30">
        <v>80.0</v>
      </c>
      <c r="AC11" s="31"/>
      <c r="AD11" s="32">
        <f t="shared" si="7"/>
        <v>32</v>
      </c>
      <c r="AE11" s="31"/>
      <c r="AF11" s="31"/>
      <c r="AG11" s="31"/>
      <c r="AH11" s="32" t="str">
        <f t="shared" si="8"/>
        <v/>
      </c>
      <c r="AI11" s="33">
        <f t="shared" si="9"/>
        <v>246</v>
      </c>
      <c r="AJ11" s="33">
        <f t="shared" si="10"/>
        <v>41</v>
      </c>
      <c r="AK11" s="34">
        <f t="shared" si="11"/>
        <v>9</v>
      </c>
      <c r="AL11" s="35" t="str">
        <f t="shared" si="12"/>
        <v>D (Kurang)</v>
      </c>
    </row>
    <row r="12" ht="25.5" customHeight="1">
      <c r="A12" s="36">
        <v>6.0</v>
      </c>
      <c r="B12" s="37" t="s">
        <v>104</v>
      </c>
      <c r="C12" s="38">
        <v>85.0</v>
      </c>
      <c r="D12" s="38">
        <v>87.0</v>
      </c>
      <c r="E12" s="39"/>
      <c r="F12" s="32">
        <f t="shared" si="1"/>
        <v>68.8</v>
      </c>
      <c r="G12" s="39"/>
      <c r="H12" s="39"/>
      <c r="I12" s="39"/>
      <c r="J12" s="32" t="str">
        <f t="shared" si="2"/>
        <v/>
      </c>
      <c r="K12" s="39"/>
      <c r="L12" s="38">
        <v>70.0</v>
      </c>
      <c r="M12" s="39"/>
      <c r="N12" s="32">
        <f t="shared" si="3"/>
        <v>28</v>
      </c>
      <c r="O12" s="38">
        <v>90.0</v>
      </c>
      <c r="P12" s="38">
        <v>70.0</v>
      </c>
      <c r="Q12" s="39"/>
      <c r="R12" s="32">
        <f t="shared" si="4"/>
        <v>64</v>
      </c>
      <c r="S12" s="38">
        <v>80.0</v>
      </c>
      <c r="T12" s="38">
        <v>80.0</v>
      </c>
      <c r="U12" s="39"/>
      <c r="V12" s="32">
        <f t="shared" si="5"/>
        <v>64</v>
      </c>
      <c r="W12" s="39"/>
      <c r="X12" s="31">
        <v>81.0</v>
      </c>
      <c r="Y12" s="39"/>
      <c r="Z12" s="32">
        <f t="shared" si="6"/>
        <v>32.4</v>
      </c>
      <c r="AA12" s="39"/>
      <c r="AB12" s="38">
        <v>80.0</v>
      </c>
      <c r="AC12" s="39"/>
      <c r="AD12" s="32">
        <f t="shared" si="7"/>
        <v>32</v>
      </c>
      <c r="AE12" s="39"/>
      <c r="AF12" s="39"/>
      <c r="AG12" s="39"/>
      <c r="AH12" s="32" t="str">
        <f t="shared" si="8"/>
        <v/>
      </c>
      <c r="AI12" s="33">
        <f t="shared" si="9"/>
        <v>289.2</v>
      </c>
      <c r="AJ12" s="33">
        <f t="shared" si="10"/>
        <v>48.2</v>
      </c>
      <c r="AK12" s="34">
        <f t="shared" si="11"/>
        <v>5</v>
      </c>
      <c r="AL12" s="35" t="str">
        <f t="shared" si="12"/>
        <v>D (Kurang)</v>
      </c>
    </row>
    <row r="13" ht="25.5" customHeight="1">
      <c r="A13" s="28">
        <v>7.0</v>
      </c>
      <c r="B13" s="29" t="s">
        <v>105</v>
      </c>
      <c r="C13" s="30">
        <v>85.0</v>
      </c>
      <c r="D13" s="31"/>
      <c r="E13" s="31"/>
      <c r="F13" s="32">
        <f t="shared" si="1"/>
        <v>34</v>
      </c>
      <c r="G13" s="31"/>
      <c r="H13" s="31"/>
      <c r="I13" s="31"/>
      <c r="J13" s="32" t="str">
        <f t="shared" si="2"/>
        <v/>
      </c>
      <c r="K13" s="31"/>
      <c r="L13" s="31"/>
      <c r="M13" s="31"/>
      <c r="N13" s="32" t="str">
        <f t="shared" si="3"/>
        <v/>
      </c>
      <c r="O13" s="30">
        <v>85.0</v>
      </c>
      <c r="P13" s="30">
        <v>80.0</v>
      </c>
      <c r="Q13" s="31"/>
      <c r="R13" s="32">
        <f t="shared" si="4"/>
        <v>66</v>
      </c>
      <c r="S13" s="30">
        <v>78.0</v>
      </c>
      <c r="T13" s="30">
        <v>72.0</v>
      </c>
      <c r="U13" s="31"/>
      <c r="V13" s="32">
        <f t="shared" si="5"/>
        <v>60</v>
      </c>
      <c r="W13" s="31"/>
      <c r="X13" s="31">
        <v>81.0</v>
      </c>
      <c r="Y13" s="31"/>
      <c r="Z13" s="32">
        <f t="shared" si="6"/>
        <v>32.4</v>
      </c>
      <c r="AA13" s="31"/>
      <c r="AB13" s="30">
        <v>97.0</v>
      </c>
      <c r="AC13" s="31"/>
      <c r="AD13" s="32">
        <f t="shared" si="7"/>
        <v>38.8</v>
      </c>
      <c r="AE13" s="31"/>
      <c r="AF13" s="31"/>
      <c r="AG13" s="31"/>
      <c r="AH13" s="32" t="str">
        <f t="shared" si="8"/>
        <v/>
      </c>
      <c r="AI13" s="33">
        <f t="shared" si="9"/>
        <v>231.2</v>
      </c>
      <c r="AJ13" s="33">
        <f t="shared" si="10"/>
        <v>46.2</v>
      </c>
      <c r="AK13" s="34">
        <f t="shared" si="11"/>
        <v>6</v>
      </c>
      <c r="AL13" s="35" t="str">
        <f t="shared" si="12"/>
        <v>D (Kurang)</v>
      </c>
    </row>
    <row r="14" ht="25.5" customHeight="1">
      <c r="A14" s="36">
        <v>8.0</v>
      </c>
      <c r="B14" s="37" t="s">
        <v>106</v>
      </c>
      <c r="C14" s="38">
        <v>85.0</v>
      </c>
      <c r="D14" s="38">
        <v>94.0</v>
      </c>
      <c r="E14" s="39"/>
      <c r="F14" s="32">
        <f t="shared" si="1"/>
        <v>71.6</v>
      </c>
      <c r="G14" s="39"/>
      <c r="H14" s="39"/>
      <c r="I14" s="39"/>
      <c r="J14" s="32" t="str">
        <f t="shared" si="2"/>
        <v/>
      </c>
      <c r="K14" s="39"/>
      <c r="L14" s="38">
        <v>90.0</v>
      </c>
      <c r="M14" s="39"/>
      <c r="N14" s="32">
        <f t="shared" si="3"/>
        <v>36</v>
      </c>
      <c r="O14" s="38">
        <v>90.0</v>
      </c>
      <c r="P14" s="38">
        <v>80.0</v>
      </c>
      <c r="Q14" s="39"/>
      <c r="R14" s="32">
        <f t="shared" si="4"/>
        <v>68</v>
      </c>
      <c r="S14" s="38">
        <v>78.0</v>
      </c>
      <c r="T14" s="38">
        <v>80.0</v>
      </c>
      <c r="U14" s="39"/>
      <c r="V14" s="32">
        <f t="shared" si="5"/>
        <v>63.2</v>
      </c>
      <c r="W14" s="39"/>
      <c r="X14" s="31">
        <v>80.0</v>
      </c>
      <c r="Y14" s="39"/>
      <c r="Z14" s="32">
        <f t="shared" si="6"/>
        <v>32</v>
      </c>
      <c r="AA14" s="39"/>
      <c r="AB14" s="38">
        <v>97.0</v>
      </c>
      <c r="AC14" s="39"/>
      <c r="AD14" s="32">
        <f t="shared" si="7"/>
        <v>38.8</v>
      </c>
      <c r="AE14" s="39"/>
      <c r="AF14" s="39"/>
      <c r="AG14" s="39"/>
      <c r="AH14" s="32" t="str">
        <f t="shared" si="8"/>
        <v/>
      </c>
      <c r="AI14" s="33">
        <f t="shared" si="9"/>
        <v>309.6</v>
      </c>
      <c r="AJ14" s="33">
        <f t="shared" si="10"/>
        <v>51.6</v>
      </c>
      <c r="AK14" s="34">
        <f t="shared" si="11"/>
        <v>1</v>
      </c>
      <c r="AL14" s="35" t="str">
        <f t="shared" si="12"/>
        <v>D (Kurang)</v>
      </c>
    </row>
    <row r="15" ht="25.5" customHeight="1">
      <c r="A15" s="28">
        <v>9.0</v>
      </c>
      <c r="B15" s="29" t="s">
        <v>107</v>
      </c>
      <c r="C15" s="30">
        <v>85.0</v>
      </c>
      <c r="D15" s="30">
        <v>82.0</v>
      </c>
      <c r="E15" s="31"/>
      <c r="F15" s="32">
        <f t="shared" si="1"/>
        <v>66.8</v>
      </c>
      <c r="G15" s="31"/>
      <c r="H15" s="31"/>
      <c r="I15" s="31"/>
      <c r="J15" s="32" t="str">
        <f t="shared" si="2"/>
        <v/>
      </c>
      <c r="K15" s="31"/>
      <c r="L15" s="30">
        <v>70.0</v>
      </c>
      <c r="M15" s="31"/>
      <c r="N15" s="32">
        <f t="shared" si="3"/>
        <v>28</v>
      </c>
      <c r="O15" s="30">
        <v>90.0</v>
      </c>
      <c r="P15" s="30">
        <v>80.0</v>
      </c>
      <c r="Q15" s="31"/>
      <c r="R15" s="32">
        <f t="shared" si="4"/>
        <v>68</v>
      </c>
      <c r="S15" s="30">
        <v>78.0</v>
      </c>
      <c r="T15" s="30">
        <v>78.0</v>
      </c>
      <c r="U15" s="31"/>
      <c r="V15" s="32">
        <f t="shared" si="5"/>
        <v>62.4</v>
      </c>
      <c r="W15" s="31"/>
      <c r="X15" s="31">
        <v>85.0</v>
      </c>
      <c r="Y15" s="31"/>
      <c r="Z15" s="32">
        <f t="shared" si="6"/>
        <v>34</v>
      </c>
      <c r="AA15" s="31"/>
      <c r="AB15" s="30">
        <v>80.0</v>
      </c>
      <c r="AC15" s="31"/>
      <c r="AD15" s="32">
        <f t="shared" si="7"/>
        <v>32</v>
      </c>
      <c r="AE15" s="31"/>
      <c r="AF15" s="31"/>
      <c r="AG15" s="31"/>
      <c r="AH15" s="32" t="str">
        <f t="shared" si="8"/>
        <v/>
      </c>
      <c r="AI15" s="33">
        <f t="shared" si="9"/>
        <v>291.2</v>
      </c>
      <c r="AJ15" s="33">
        <f t="shared" si="10"/>
        <v>48.5</v>
      </c>
      <c r="AK15" s="34">
        <f t="shared" si="11"/>
        <v>4</v>
      </c>
      <c r="AL15" s="35" t="str">
        <f t="shared" si="12"/>
        <v>D (Kurang)</v>
      </c>
    </row>
    <row r="16" ht="21.75" customHeight="1">
      <c r="A16" s="40" t="s">
        <v>44</v>
      </c>
      <c r="B16" s="41"/>
      <c r="C16" s="42">
        <f t="shared" ref="C16:AJ16" si="13">IFERROR(ROUND(AVERAGE(C7:C15), 1), "")</f>
        <v>85</v>
      </c>
      <c r="D16" s="42">
        <f t="shared" si="13"/>
        <v>87.5</v>
      </c>
      <c r="E16" s="42" t="str">
        <f t="shared" si="13"/>
        <v/>
      </c>
      <c r="F16" s="43">
        <f t="shared" si="13"/>
        <v>65.1</v>
      </c>
      <c r="G16" s="42" t="str">
        <f t="shared" si="13"/>
        <v/>
      </c>
      <c r="H16" s="42" t="str">
        <f t="shared" si="13"/>
        <v/>
      </c>
      <c r="I16" s="42" t="str">
        <f t="shared" si="13"/>
        <v/>
      </c>
      <c r="J16" s="43" t="str">
        <f t="shared" si="13"/>
        <v/>
      </c>
      <c r="K16" s="42" t="str">
        <f t="shared" si="13"/>
        <v/>
      </c>
      <c r="L16" s="42">
        <f t="shared" si="13"/>
        <v>58.8</v>
      </c>
      <c r="M16" s="42" t="str">
        <f t="shared" si="13"/>
        <v/>
      </c>
      <c r="N16" s="43">
        <f t="shared" si="13"/>
        <v>23.5</v>
      </c>
      <c r="O16" s="42">
        <f t="shared" si="13"/>
        <v>82.8</v>
      </c>
      <c r="P16" s="42">
        <f t="shared" si="13"/>
        <v>72.2</v>
      </c>
      <c r="Q16" s="42" t="str">
        <f t="shared" si="13"/>
        <v/>
      </c>
      <c r="R16" s="43">
        <f t="shared" si="13"/>
        <v>62</v>
      </c>
      <c r="S16" s="42">
        <f t="shared" si="13"/>
        <v>77.9</v>
      </c>
      <c r="T16" s="42">
        <f t="shared" si="13"/>
        <v>78.1</v>
      </c>
      <c r="U16" s="42" t="str">
        <f t="shared" si="13"/>
        <v/>
      </c>
      <c r="V16" s="43">
        <f t="shared" si="13"/>
        <v>62.4</v>
      </c>
      <c r="W16" s="42" t="str">
        <f t="shared" si="13"/>
        <v/>
      </c>
      <c r="X16" s="42">
        <f t="shared" si="13"/>
        <v>82.6</v>
      </c>
      <c r="Y16" s="42" t="str">
        <f t="shared" si="13"/>
        <v/>
      </c>
      <c r="Z16" s="43">
        <f t="shared" si="13"/>
        <v>33</v>
      </c>
      <c r="AA16" s="42" t="str">
        <f t="shared" si="13"/>
        <v/>
      </c>
      <c r="AB16" s="42">
        <f t="shared" si="13"/>
        <v>87.3</v>
      </c>
      <c r="AC16" s="42" t="str">
        <f t="shared" si="13"/>
        <v/>
      </c>
      <c r="AD16" s="43">
        <f t="shared" si="13"/>
        <v>34.9</v>
      </c>
      <c r="AE16" s="42" t="str">
        <f t="shared" si="13"/>
        <v/>
      </c>
      <c r="AF16" s="42" t="str">
        <f t="shared" si="13"/>
        <v/>
      </c>
      <c r="AG16" s="42" t="str">
        <f t="shared" si="13"/>
        <v/>
      </c>
      <c r="AH16" s="43" t="str">
        <f t="shared" si="13"/>
        <v/>
      </c>
      <c r="AI16" s="42">
        <f t="shared" si="13"/>
        <v>278.4</v>
      </c>
      <c r="AJ16" s="42">
        <f t="shared" si="13"/>
        <v>47.2</v>
      </c>
      <c r="AK16" s="42" t="s">
        <v>45</v>
      </c>
      <c r="AL16" s="43" t="s">
        <v>45</v>
      </c>
    </row>
    <row r="17" ht="21.75" customHeight="1">
      <c r="A17" s="44" t="s">
        <v>46</v>
      </c>
      <c r="B17" s="45"/>
      <c r="C17" s="46">
        <f t="shared" ref="C17:AJ17" si="14">IFERROR(MAX(C7:C15), "")</f>
        <v>85</v>
      </c>
      <c r="D17" s="46">
        <f t="shared" si="14"/>
        <v>94</v>
      </c>
      <c r="E17" s="46">
        <f t="shared" si="14"/>
        <v>0</v>
      </c>
      <c r="F17" s="47">
        <f t="shared" si="14"/>
        <v>71.6</v>
      </c>
      <c r="G17" s="46">
        <f t="shared" si="14"/>
        <v>0</v>
      </c>
      <c r="H17" s="46">
        <f t="shared" si="14"/>
        <v>0</v>
      </c>
      <c r="I17" s="46">
        <f t="shared" si="14"/>
        <v>0</v>
      </c>
      <c r="J17" s="47">
        <f t="shared" si="14"/>
        <v>0</v>
      </c>
      <c r="K17" s="46">
        <f t="shared" si="14"/>
        <v>0</v>
      </c>
      <c r="L17" s="46">
        <f t="shared" si="14"/>
        <v>90</v>
      </c>
      <c r="M17" s="46">
        <f t="shared" si="14"/>
        <v>0</v>
      </c>
      <c r="N17" s="47">
        <f t="shared" si="14"/>
        <v>36</v>
      </c>
      <c r="O17" s="46">
        <f t="shared" si="14"/>
        <v>90</v>
      </c>
      <c r="P17" s="46">
        <f t="shared" si="14"/>
        <v>80</v>
      </c>
      <c r="Q17" s="46">
        <f t="shared" si="14"/>
        <v>0</v>
      </c>
      <c r="R17" s="47">
        <f t="shared" si="14"/>
        <v>68</v>
      </c>
      <c r="S17" s="46">
        <f t="shared" si="14"/>
        <v>80</v>
      </c>
      <c r="T17" s="46">
        <f t="shared" si="14"/>
        <v>80</v>
      </c>
      <c r="U17" s="46">
        <f t="shared" si="14"/>
        <v>0</v>
      </c>
      <c r="V17" s="47">
        <f t="shared" si="14"/>
        <v>64</v>
      </c>
      <c r="W17" s="46">
        <f t="shared" si="14"/>
        <v>0</v>
      </c>
      <c r="X17" s="46">
        <f t="shared" si="14"/>
        <v>85</v>
      </c>
      <c r="Y17" s="46">
        <f t="shared" si="14"/>
        <v>0</v>
      </c>
      <c r="Z17" s="47">
        <f t="shared" si="14"/>
        <v>34</v>
      </c>
      <c r="AA17" s="46">
        <f t="shared" si="14"/>
        <v>0</v>
      </c>
      <c r="AB17" s="46">
        <f t="shared" si="14"/>
        <v>97</v>
      </c>
      <c r="AC17" s="46">
        <f t="shared" si="14"/>
        <v>0</v>
      </c>
      <c r="AD17" s="47">
        <f t="shared" si="14"/>
        <v>38.8</v>
      </c>
      <c r="AE17" s="46">
        <f t="shared" si="14"/>
        <v>0</v>
      </c>
      <c r="AF17" s="46">
        <f t="shared" si="14"/>
        <v>0</v>
      </c>
      <c r="AG17" s="46">
        <f t="shared" si="14"/>
        <v>0</v>
      </c>
      <c r="AH17" s="47">
        <f t="shared" si="14"/>
        <v>0</v>
      </c>
      <c r="AI17" s="46">
        <f t="shared" si="14"/>
        <v>309.6</v>
      </c>
      <c r="AJ17" s="46">
        <f t="shared" si="14"/>
        <v>51.6</v>
      </c>
      <c r="AK17" s="46" t="s">
        <v>45</v>
      </c>
      <c r="AL17" s="47" t="s">
        <v>45</v>
      </c>
    </row>
    <row r="18" ht="21.75" customHeight="1">
      <c r="A18" s="48" t="s">
        <v>47</v>
      </c>
      <c r="B18" s="49"/>
      <c r="C18" s="50">
        <f t="shared" ref="C18:AJ18" si="15">IFERROR(MIN(C7:C15), "")</f>
        <v>85</v>
      </c>
      <c r="D18" s="50">
        <f t="shared" si="15"/>
        <v>81</v>
      </c>
      <c r="E18" s="50">
        <f t="shared" si="15"/>
        <v>0</v>
      </c>
      <c r="F18" s="51">
        <f t="shared" si="15"/>
        <v>34</v>
      </c>
      <c r="G18" s="50">
        <f t="shared" si="15"/>
        <v>0</v>
      </c>
      <c r="H18" s="50">
        <f t="shared" si="15"/>
        <v>0</v>
      </c>
      <c r="I18" s="50">
        <f t="shared" si="15"/>
        <v>0</v>
      </c>
      <c r="J18" s="51">
        <f t="shared" si="15"/>
        <v>0</v>
      </c>
      <c r="K18" s="50">
        <f t="shared" si="15"/>
        <v>0</v>
      </c>
      <c r="L18" s="50">
        <f t="shared" si="15"/>
        <v>20</v>
      </c>
      <c r="M18" s="50">
        <f t="shared" si="15"/>
        <v>0</v>
      </c>
      <c r="N18" s="51">
        <f t="shared" si="15"/>
        <v>8</v>
      </c>
      <c r="O18" s="50">
        <f t="shared" si="15"/>
        <v>50</v>
      </c>
      <c r="P18" s="50">
        <f t="shared" si="15"/>
        <v>50</v>
      </c>
      <c r="Q18" s="50">
        <f t="shared" si="15"/>
        <v>0</v>
      </c>
      <c r="R18" s="51">
        <f t="shared" si="15"/>
        <v>44</v>
      </c>
      <c r="S18" s="50">
        <f t="shared" si="15"/>
        <v>75</v>
      </c>
      <c r="T18" s="50">
        <f t="shared" si="15"/>
        <v>72</v>
      </c>
      <c r="U18" s="50">
        <f t="shared" si="15"/>
        <v>0</v>
      </c>
      <c r="V18" s="51">
        <f t="shared" si="15"/>
        <v>60</v>
      </c>
      <c r="W18" s="50">
        <f t="shared" si="15"/>
        <v>0</v>
      </c>
      <c r="X18" s="50">
        <f t="shared" si="15"/>
        <v>80</v>
      </c>
      <c r="Y18" s="50">
        <f t="shared" si="15"/>
        <v>0</v>
      </c>
      <c r="Z18" s="51">
        <f t="shared" si="15"/>
        <v>32</v>
      </c>
      <c r="AA18" s="50">
        <f t="shared" si="15"/>
        <v>0</v>
      </c>
      <c r="AB18" s="50">
        <f t="shared" si="15"/>
        <v>80</v>
      </c>
      <c r="AC18" s="50">
        <f t="shared" si="15"/>
        <v>0</v>
      </c>
      <c r="AD18" s="51">
        <f t="shared" si="15"/>
        <v>32</v>
      </c>
      <c r="AE18" s="50">
        <f t="shared" si="15"/>
        <v>0</v>
      </c>
      <c r="AF18" s="50">
        <f t="shared" si="15"/>
        <v>0</v>
      </c>
      <c r="AG18" s="50">
        <f t="shared" si="15"/>
        <v>0</v>
      </c>
      <c r="AH18" s="51">
        <f t="shared" si="15"/>
        <v>0</v>
      </c>
      <c r="AI18" s="50">
        <f t="shared" si="15"/>
        <v>231.2</v>
      </c>
      <c r="AJ18" s="50">
        <f t="shared" si="15"/>
        <v>41</v>
      </c>
      <c r="AK18" s="50" t="s">
        <v>45</v>
      </c>
      <c r="AL18" s="5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5:J5"/>
    <mergeCell ref="K5:N5"/>
    <mergeCell ref="A16:B16"/>
    <mergeCell ref="A17:B17"/>
    <mergeCell ref="A18:B18"/>
    <mergeCell ref="O5:R5"/>
    <mergeCell ref="S5:V5"/>
    <mergeCell ref="W5:Z5"/>
    <mergeCell ref="AA5:AD5"/>
    <mergeCell ref="AE5:AH5"/>
    <mergeCell ref="AI5:AL5"/>
    <mergeCell ref="A1:AL1"/>
    <mergeCell ref="A2:AL2"/>
    <mergeCell ref="A3:B3"/>
    <mergeCell ref="C3:AH3"/>
    <mergeCell ref="AI3:AL3"/>
    <mergeCell ref="A5:B5"/>
    <mergeCell ref="C5:F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86"/>
    <col customWidth="1" min="2" max="2" width="22.57"/>
    <col customWidth="1" min="3" max="5" width="5.43"/>
    <col customWidth="1" min="6" max="6" width="6.86"/>
    <col customWidth="1" min="7" max="9" width="5.43"/>
    <col customWidth="1" min="10" max="10" width="6.86"/>
    <col customWidth="1" min="11" max="13" width="5.43"/>
    <col customWidth="1" min="14" max="14" width="6.86"/>
    <col customWidth="1" min="15" max="17" width="5.43"/>
    <col customWidth="1" min="18" max="18" width="6.86"/>
    <col customWidth="1" min="19" max="21" width="5.43"/>
    <col customWidth="1" min="22" max="22" width="6.86"/>
    <col customWidth="1" min="23" max="25" width="5.43"/>
    <col customWidth="1" min="26" max="26" width="6.86"/>
    <col customWidth="1" min="27" max="29" width="5.43"/>
    <col customWidth="1" min="30" max="30" width="6.86"/>
    <col customWidth="1" min="31" max="33" width="5.43"/>
    <col customWidth="1" min="34" max="34" width="6.86"/>
    <col customWidth="1" min="35" max="36" width="7.43"/>
    <col customWidth="1" min="37" max="37" width="6.0"/>
    <col customWidth="1" min="38" max="38" width="13.0"/>
  </cols>
  <sheetData>
    <row r="1" ht="27.75" customHeight="1">
      <c r="A1" s="1" t="s">
        <v>108</v>
      </c>
    </row>
    <row r="2" ht="18.0" customHeight="1">
      <c r="A2" s="2" t="s">
        <v>109</v>
      </c>
    </row>
    <row r="3" ht="18.0" customHeight="1">
      <c r="A3" s="3" t="s">
        <v>110</v>
      </c>
      <c r="C3" s="4" t="s">
        <v>3</v>
      </c>
      <c r="AI3" s="5" t="str">
        <f>HYPERLINK("#'Dashboard &amp; Panduan'!A1", "⬅ Kembali ke Menu")</f>
        <v>⬅ Kembali ke Menu</v>
      </c>
    </row>
    <row r="4" ht="6.0" customHeight="1"/>
    <row r="5" ht="24.0" customHeight="1">
      <c r="A5" s="6" t="s">
        <v>4</v>
      </c>
      <c r="B5" s="7"/>
      <c r="C5" s="8" t="s">
        <v>5</v>
      </c>
      <c r="D5" s="9"/>
      <c r="E5" s="9"/>
      <c r="F5" s="7"/>
      <c r="G5" s="10" t="s">
        <v>6</v>
      </c>
      <c r="H5" s="9"/>
      <c r="I5" s="9"/>
      <c r="J5" s="7"/>
      <c r="K5" s="11" t="s">
        <v>7</v>
      </c>
      <c r="L5" s="9"/>
      <c r="M5" s="9"/>
      <c r="N5" s="7"/>
      <c r="O5" s="56" t="s">
        <v>111</v>
      </c>
      <c r="P5" s="9"/>
      <c r="Q5" s="9"/>
      <c r="R5" s="7"/>
      <c r="S5" s="13" t="s">
        <v>9</v>
      </c>
      <c r="T5" s="9"/>
      <c r="U5" s="9"/>
      <c r="V5" s="7"/>
      <c r="W5" s="14" t="s">
        <v>10</v>
      </c>
      <c r="X5" s="9"/>
      <c r="Y5" s="9"/>
      <c r="Z5" s="7"/>
      <c r="AA5" s="15" t="s">
        <v>11</v>
      </c>
      <c r="AB5" s="9"/>
      <c r="AC5" s="9"/>
      <c r="AD5" s="7"/>
      <c r="AE5" s="16" t="s">
        <v>12</v>
      </c>
      <c r="AF5" s="9"/>
      <c r="AG5" s="9"/>
      <c r="AH5" s="7"/>
      <c r="AI5" s="17" t="s">
        <v>13</v>
      </c>
      <c r="AJ5" s="9"/>
      <c r="AK5" s="9"/>
      <c r="AL5" s="7"/>
    </row>
    <row r="6" ht="19.5" customHeight="1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20" t="s">
        <v>19</v>
      </c>
      <c r="G6" s="21" t="s">
        <v>16</v>
      </c>
      <c r="H6" s="21" t="s">
        <v>17</v>
      </c>
      <c r="I6" s="21" t="s">
        <v>18</v>
      </c>
      <c r="J6" s="20" t="s">
        <v>19</v>
      </c>
      <c r="K6" s="22" t="s">
        <v>16</v>
      </c>
      <c r="L6" s="22" t="s">
        <v>17</v>
      </c>
      <c r="M6" s="22" t="s">
        <v>18</v>
      </c>
      <c r="N6" s="20" t="s">
        <v>19</v>
      </c>
      <c r="O6" s="23" t="s">
        <v>16</v>
      </c>
      <c r="P6" s="23" t="s">
        <v>17</v>
      </c>
      <c r="Q6" s="23" t="s">
        <v>18</v>
      </c>
      <c r="R6" s="20" t="s">
        <v>19</v>
      </c>
      <c r="S6" s="24" t="s">
        <v>16</v>
      </c>
      <c r="T6" s="24" t="s">
        <v>17</v>
      </c>
      <c r="U6" s="24" t="s">
        <v>18</v>
      </c>
      <c r="V6" s="20" t="s">
        <v>19</v>
      </c>
      <c r="W6" s="25" t="s">
        <v>16</v>
      </c>
      <c r="X6" s="25" t="s">
        <v>17</v>
      </c>
      <c r="Y6" s="25" t="s">
        <v>18</v>
      </c>
      <c r="Z6" s="20" t="s">
        <v>19</v>
      </c>
      <c r="AA6" s="18" t="s">
        <v>16</v>
      </c>
      <c r="AB6" s="18" t="s">
        <v>17</v>
      </c>
      <c r="AC6" s="18" t="s">
        <v>18</v>
      </c>
      <c r="AD6" s="20" t="s">
        <v>19</v>
      </c>
      <c r="AE6" s="26" t="s">
        <v>16</v>
      </c>
      <c r="AF6" s="26" t="s">
        <v>17</v>
      </c>
      <c r="AG6" s="26" t="s">
        <v>18</v>
      </c>
      <c r="AH6" s="20" t="s">
        <v>19</v>
      </c>
      <c r="AI6" s="27" t="s">
        <v>20</v>
      </c>
      <c r="AJ6" s="27" t="s">
        <v>21</v>
      </c>
      <c r="AK6" s="27" t="s">
        <v>22</v>
      </c>
      <c r="AL6" s="27" t="s">
        <v>23</v>
      </c>
    </row>
    <row r="7" ht="25.5" customHeight="1">
      <c r="A7" s="28">
        <v>1.0</v>
      </c>
      <c r="B7" s="29" t="s">
        <v>112</v>
      </c>
      <c r="C7" s="30">
        <v>85.0</v>
      </c>
      <c r="D7" s="30">
        <v>75.0</v>
      </c>
      <c r="E7" s="31"/>
      <c r="F7" s="32">
        <f t="shared" ref="F7:F20" si="1">IF(COUNT(C7:E7)=0, "", ROUND(C7*0.4 + D7*0.4 + E7*0.2, 1))</f>
        <v>64</v>
      </c>
      <c r="G7" s="31"/>
      <c r="H7" s="31"/>
      <c r="I7" s="31"/>
      <c r="J7" s="32" t="str">
        <f t="shared" ref="J7:J20" si="2">IF(COUNT(G7:I7)=0, "", ROUND(G7*0.4 + H7*0.4 + I7*0.2, 1))</f>
        <v/>
      </c>
      <c r="K7" s="31"/>
      <c r="L7" s="30">
        <v>85.0</v>
      </c>
      <c r="M7" s="31"/>
      <c r="N7" s="32">
        <f t="shared" ref="N7:N20" si="3">IF(COUNT(K7:M7)=0, "", ROUND(K7*0.4 + L7*0.4 + M7*0.2, 1))</f>
        <v>34</v>
      </c>
      <c r="O7" s="30">
        <v>85.0</v>
      </c>
      <c r="P7" s="30">
        <v>80.0</v>
      </c>
      <c r="Q7" s="31"/>
      <c r="R7" s="32">
        <f t="shared" ref="R7:R20" si="4">IF(COUNT(O7:Q7)=0, "", ROUND(O7*0.4 + P7*0.4 + Q7*0.2, 1))</f>
        <v>66</v>
      </c>
      <c r="S7" s="30">
        <v>78.0</v>
      </c>
      <c r="T7" s="30">
        <v>78.0</v>
      </c>
      <c r="U7" s="31"/>
      <c r="V7" s="32">
        <f t="shared" ref="V7:V20" si="5">IF(COUNT(S7:U7)=0, "", ROUND(S7*0.4 + T7*0.4 + U7*0.2, 1))</f>
        <v>62.4</v>
      </c>
      <c r="W7" s="31"/>
      <c r="X7" s="30">
        <v>84.0</v>
      </c>
      <c r="Y7" s="31"/>
      <c r="Z7" s="32">
        <f t="shared" ref="Z7:Z20" si="6">IF(COUNT(W7:Y7)=0, "", ROUND(W7*0.4 + X7*0.4 + Y7*0.2, 1))</f>
        <v>33.6</v>
      </c>
      <c r="AA7" s="31"/>
      <c r="AB7" s="30">
        <v>80.0</v>
      </c>
      <c r="AC7" s="31"/>
      <c r="AD7" s="32">
        <f t="shared" ref="AD7:AD20" si="7">IF(COUNT(AA7:AC7)=0, "", ROUND(AA7*0.4 + AB7*0.4 + AC7*0.2, 1))</f>
        <v>32</v>
      </c>
      <c r="AE7" s="31"/>
      <c r="AF7" s="31"/>
      <c r="AG7" s="31"/>
      <c r="AH7" s="32" t="str">
        <f t="shared" ref="AH7:AH20" si="8">IF(COUNT(AE7:AG7)=0, "", ROUND(AE7*0.4 + AF7*0.4 + AG7*0.2, 1))</f>
        <v/>
      </c>
      <c r="AI7" s="33">
        <f t="shared" ref="AI7:AI20" si="9">IFERROR(SUM(F7,J7,N7,R7,V7,Z7,AD7,AH7), "")</f>
        <v>292</v>
      </c>
      <c r="AJ7" s="33">
        <f t="shared" ref="AJ7:AJ20" si="10">IFERROR(ROUND(AVERAGE(F7,J7,N7,R7,V7,Z7,AD7,AH7), 1), "")</f>
        <v>48.7</v>
      </c>
      <c r="AK7" s="34">
        <f t="shared" ref="AK7:AK20" si="11">IF(AJ7="", "", RANK(AJ7, $AJ$7:$AJ$20))</f>
        <v>6</v>
      </c>
      <c r="AL7" s="35" t="str">
        <f t="shared" ref="AL7:AL20" si="12">IF(AJ7="", "", IF(AJ7&gt;=90, "A (Sangat Baik)", IF(AJ7&gt;=80, "B (Baik)", IF(AJ7&gt;=70, "C (Cukup)", "D (Kurang)"))))</f>
        <v>D (Kurang)</v>
      </c>
    </row>
    <row r="8" ht="25.5" customHeight="1">
      <c r="A8" s="36">
        <v>2.0</v>
      </c>
      <c r="B8" s="37" t="s">
        <v>113</v>
      </c>
      <c r="C8" s="38">
        <v>85.0</v>
      </c>
      <c r="D8" s="38">
        <v>75.0</v>
      </c>
      <c r="E8" s="39"/>
      <c r="F8" s="32">
        <f t="shared" si="1"/>
        <v>64</v>
      </c>
      <c r="G8" s="39"/>
      <c r="H8" s="39"/>
      <c r="I8" s="39"/>
      <c r="J8" s="32" t="str">
        <f t="shared" si="2"/>
        <v/>
      </c>
      <c r="K8" s="39"/>
      <c r="L8" s="38">
        <v>75.0</v>
      </c>
      <c r="M8" s="39"/>
      <c r="N8" s="32">
        <f t="shared" si="3"/>
        <v>30</v>
      </c>
      <c r="O8" s="38">
        <v>80.0</v>
      </c>
      <c r="P8" s="38">
        <v>50.0</v>
      </c>
      <c r="Q8" s="39"/>
      <c r="R8" s="32">
        <f t="shared" si="4"/>
        <v>52</v>
      </c>
      <c r="S8" s="38">
        <v>78.0</v>
      </c>
      <c r="T8" s="38">
        <v>78.0</v>
      </c>
      <c r="U8" s="39"/>
      <c r="V8" s="32">
        <f t="shared" si="5"/>
        <v>62.4</v>
      </c>
      <c r="W8" s="39"/>
      <c r="X8" s="30">
        <v>81.0</v>
      </c>
      <c r="Y8" s="39"/>
      <c r="Z8" s="32">
        <f t="shared" si="6"/>
        <v>32.4</v>
      </c>
      <c r="AA8" s="39"/>
      <c r="AB8" s="38">
        <v>85.0</v>
      </c>
      <c r="AC8" s="39"/>
      <c r="AD8" s="32">
        <f t="shared" si="7"/>
        <v>34</v>
      </c>
      <c r="AE8" s="39"/>
      <c r="AF8" s="39"/>
      <c r="AG8" s="39"/>
      <c r="AH8" s="32" t="str">
        <f t="shared" si="8"/>
        <v/>
      </c>
      <c r="AI8" s="33">
        <f t="shared" si="9"/>
        <v>274.8</v>
      </c>
      <c r="AJ8" s="33">
        <f t="shared" si="10"/>
        <v>45.8</v>
      </c>
      <c r="AK8" s="34">
        <f t="shared" si="11"/>
        <v>12</v>
      </c>
      <c r="AL8" s="35" t="str">
        <f t="shared" si="12"/>
        <v>D (Kurang)</v>
      </c>
    </row>
    <row r="9" ht="25.5" customHeight="1">
      <c r="A9" s="28">
        <v>3.0</v>
      </c>
      <c r="B9" s="29" t="s">
        <v>114</v>
      </c>
      <c r="C9" s="30">
        <v>85.0</v>
      </c>
      <c r="D9" s="30">
        <v>50.0</v>
      </c>
      <c r="E9" s="31"/>
      <c r="F9" s="32">
        <f t="shared" si="1"/>
        <v>54</v>
      </c>
      <c r="G9" s="31"/>
      <c r="H9" s="31"/>
      <c r="I9" s="31"/>
      <c r="J9" s="32" t="str">
        <f t="shared" si="2"/>
        <v/>
      </c>
      <c r="K9" s="31"/>
      <c r="L9" s="30">
        <v>80.0</v>
      </c>
      <c r="M9" s="31"/>
      <c r="N9" s="32">
        <f t="shared" si="3"/>
        <v>32</v>
      </c>
      <c r="O9" s="30">
        <v>80.0</v>
      </c>
      <c r="P9" s="30">
        <v>70.0</v>
      </c>
      <c r="Q9" s="31"/>
      <c r="R9" s="32">
        <f t="shared" si="4"/>
        <v>60</v>
      </c>
      <c r="S9" s="30">
        <v>78.0</v>
      </c>
      <c r="T9" s="30">
        <v>79.0</v>
      </c>
      <c r="U9" s="31"/>
      <c r="V9" s="32">
        <f t="shared" si="5"/>
        <v>62.8</v>
      </c>
      <c r="W9" s="31"/>
      <c r="X9" s="30">
        <v>80.0</v>
      </c>
      <c r="Y9" s="31"/>
      <c r="Z9" s="32">
        <f t="shared" si="6"/>
        <v>32</v>
      </c>
      <c r="AA9" s="31"/>
      <c r="AB9" s="30">
        <v>98.0</v>
      </c>
      <c r="AC9" s="31"/>
      <c r="AD9" s="32">
        <f t="shared" si="7"/>
        <v>39.2</v>
      </c>
      <c r="AE9" s="31"/>
      <c r="AF9" s="31"/>
      <c r="AG9" s="31"/>
      <c r="AH9" s="32" t="str">
        <f t="shared" si="8"/>
        <v/>
      </c>
      <c r="AI9" s="33">
        <f t="shared" si="9"/>
        <v>280</v>
      </c>
      <c r="AJ9" s="33">
        <f t="shared" si="10"/>
        <v>46.7</v>
      </c>
      <c r="AK9" s="34">
        <f t="shared" si="11"/>
        <v>11</v>
      </c>
      <c r="AL9" s="35" t="str">
        <f t="shared" si="12"/>
        <v>D (Kurang)</v>
      </c>
    </row>
    <row r="10" ht="25.5" customHeight="1">
      <c r="A10" s="36">
        <v>4.0</v>
      </c>
      <c r="B10" s="37" t="s">
        <v>115</v>
      </c>
      <c r="C10" s="38">
        <v>85.0</v>
      </c>
      <c r="D10" s="38">
        <v>75.0</v>
      </c>
      <c r="E10" s="39"/>
      <c r="F10" s="32">
        <f t="shared" si="1"/>
        <v>64</v>
      </c>
      <c r="G10" s="39"/>
      <c r="H10" s="39"/>
      <c r="I10" s="39"/>
      <c r="J10" s="32" t="str">
        <f t="shared" si="2"/>
        <v/>
      </c>
      <c r="K10" s="39"/>
      <c r="L10" s="38">
        <v>78.0</v>
      </c>
      <c r="M10" s="39"/>
      <c r="N10" s="32">
        <f t="shared" si="3"/>
        <v>31.2</v>
      </c>
      <c r="O10" s="38">
        <v>85.0</v>
      </c>
      <c r="P10" s="38">
        <v>80.0</v>
      </c>
      <c r="Q10" s="39"/>
      <c r="R10" s="32">
        <f t="shared" si="4"/>
        <v>66</v>
      </c>
      <c r="S10" s="38">
        <v>78.0</v>
      </c>
      <c r="T10" s="38">
        <v>80.0</v>
      </c>
      <c r="U10" s="39"/>
      <c r="V10" s="32">
        <f t="shared" si="5"/>
        <v>63.2</v>
      </c>
      <c r="W10" s="39"/>
      <c r="X10" s="30">
        <v>84.0</v>
      </c>
      <c r="Y10" s="39"/>
      <c r="Z10" s="32">
        <f t="shared" si="6"/>
        <v>33.6</v>
      </c>
      <c r="AA10" s="39"/>
      <c r="AB10" s="38">
        <v>95.0</v>
      </c>
      <c r="AC10" s="39"/>
      <c r="AD10" s="32">
        <f t="shared" si="7"/>
        <v>38</v>
      </c>
      <c r="AE10" s="39"/>
      <c r="AF10" s="39"/>
      <c r="AG10" s="39"/>
      <c r="AH10" s="32" t="str">
        <f t="shared" si="8"/>
        <v/>
      </c>
      <c r="AI10" s="33">
        <f t="shared" si="9"/>
        <v>296</v>
      </c>
      <c r="AJ10" s="33">
        <f t="shared" si="10"/>
        <v>49.3</v>
      </c>
      <c r="AK10" s="34">
        <f t="shared" si="11"/>
        <v>2</v>
      </c>
      <c r="AL10" s="35" t="str">
        <f t="shared" si="12"/>
        <v>D (Kurang)</v>
      </c>
    </row>
    <row r="11" ht="25.5" customHeight="1">
      <c r="A11" s="28">
        <v>5.0</v>
      </c>
      <c r="B11" s="29" t="s">
        <v>116</v>
      </c>
      <c r="C11" s="30">
        <v>85.0</v>
      </c>
      <c r="D11" s="30">
        <v>75.0</v>
      </c>
      <c r="E11" s="31"/>
      <c r="F11" s="32">
        <f t="shared" si="1"/>
        <v>64</v>
      </c>
      <c r="G11" s="31"/>
      <c r="H11" s="31"/>
      <c r="I11" s="31"/>
      <c r="J11" s="32" t="str">
        <f t="shared" si="2"/>
        <v/>
      </c>
      <c r="K11" s="31"/>
      <c r="L11" s="30">
        <v>85.0</v>
      </c>
      <c r="M11" s="31"/>
      <c r="N11" s="32">
        <f t="shared" si="3"/>
        <v>34</v>
      </c>
      <c r="O11" s="30">
        <v>85.0</v>
      </c>
      <c r="P11" s="30">
        <v>80.0</v>
      </c>
      <c r="Q11" s="31"/>
      <c r="R11" s="32">
        <f t="shared" si="4"/>
        <v>66</v>
      </c>
      <c r="S11" s="30">
        <v>78.0</v>
      </c>
      <c r="T11" s="30">
        <v>80.0</v>
      </c>
      <c r="U11" s="31"/>
      <c r="V11" s="32">
        <f t="shared" si="5"/>
        <v>63.2</v>
      </c>
      <c r="W11" s="31"/>
      <c r="X11" s="30">
        <v>85.0</v>
      </c>
      <c r="Y11" s="31"/>
      <c r="Z11" s="32">
        <f t="shared" si="6"/>
        <v>34</v>
      </c>
      <c r="AA11" s="31"/>
      <c r="AB11" s="30">
        <v>80.0</v>
      </c>
      <c r="AC11" s="31"/>
      <c r="AD11" s="32">
        <f t="shared" si="7"/>
        <v>32</v>
      </c>
      <c r="AE11" s="31"/>
      <c r="AF11" s="31"/>
      <c r="AG11" s="31"/>
      <c r="AH11" s="32" t="str">
        <f t="shared" si="8"/>
        <v/>
      </c>
      <c r="AI11" s="33">
        <f t="shared" si="9"/>
        <v>293.2</v>
      </c>
      <c r="AJ11" s="33">
        <f t="shared" si="10"/>
        <v>48.9</v>
      </c>
      <c r="AK11" s="34">
        <f t="shared" si="11"/>
        <v>5</v>
      </c>
      <c r="AL11" s="35" t="str">
        <f t="shared" si="12"/>
        <v>D (Kurang)</v>
      </c>
    </row>
    <row r="12" ht="25.5" customHeight="1">
      <c r="A12" s="36">
        <v>6.0</v>
      </c>
      <c r="B12" s="37" t="s">
        <v>117</v>
      </c>
      <c r="C12" s="38">
        <v>85.0</v>
      </c>
      <c r="D12" s="38">
        <v>75.0</v>
      </c>
      <c r="E12" s="39"/>
      <c r="F12" s="32">
        <f t="shared" si="1"/>
        <v>64</v>
      </c>
      <c r="G12" s="38"/>
      <c r="H12" s="38"/>
      <c r="I12" s="38"/>
      <c r="J12" s="32" t="str">
        <f t="shared" si="2"/>
        <v/>
      </c>
      <c r="K12" s="39"/>
      <c r="L12" s="38">
        <v>80.0</v>
      </c>
      <c r="M12" s="39"/>
      <c r="N12" s="32">
        <f t="shared" si="3"/>
        <v>32</v>
      </c>
      <c r="O12" s="38">
        <v>85.0</v>
      </c>
      <c r="P12" s="38">
        <v>70.0</v>
      </c>
      <c r="Q12" s="39"/>
      <c r="R12" s="32">
        <f t="shared" si="4"/>
        <v>62</v>
      </c>
      <c r="S12" s="38">
        <v>79.0</v>
      </c>
      <c r="T12" s="38">
        <v>80.0</v>
      </c>
      <c r="U12" s="39"/>
      <c r="V12" s="32">
        <f t="shared" si="5"/>
        <v>63.6</v>
      </c>
      <c r="W12" s="39"/>
      <c r="X12" s="30">
        <v>80.0</v>
      </c>
      <c r="Y12" s="39"/>
      <c r="Z12" s="32">
        <f t="shared" si="6"/>
        <v>32</v>
      </c>
      <c r="AA12" s="39"/>
      <c r="AB12" s="38">
        <v>95.0</v>
      </c>
      <c r="AC12" s="39"/>
      <c r="AD12" s="32">
        <f t="shared" si="7"/>
        <v>38</v>
      </c>
      <c r="AE12" s="39"/>
      <c r="AF12" s="39"/>
      <c r="AG12" s="39"/>
      <c r="AH12" s="32" t="str">
        <f t="shared" si="8"/>
        <v/>
      </c>
      <c r="AI12" s="33">
        <f t="shared" si="9"/>
        <v>291.6</v>
      </c>
      <c r="AJ12" s="33">
        <f t="shared" si="10"/>
        <v>48.6</v>
      </c>
      <c r="AK12" s="34">
        <f t="shared" si="11"/>
        <v>7</v>
      </c>
      <c r="AL12" s="35" t="str">
        <f t="shared" si="12"/>
        <v>D (Kurang)</v>
      </c>
    </row>
    <row r="13" ht="25.5" customHeight="1">
      <c r="A13" s="28">
        <v>7.0</v>
      </c>
      <c r="B13" s="29" t="s">
        <v>118</v>
      </c>
      <c r="C13" s="30">
        <v>85.0</v>
      </c>
      <c r="D13" s="30">
        <v>75.0</v>
      </c>
      <c r="E13" s="31"/>
      <c r="F13" s="32">
        <f t="shared" si="1"/>
        <v>64</v>
      </c>
      <c r="G13" s="31"/>
      <c r="H13" s="31"/>
      <c r="I13" s="31"/>
      <c r="J13" s="32" t="str">
        <f t="shared" si="2"/>
        <v/>
      </c>
      <c r="K13" s="31"/>
      <c r="L13" s="30">
        <v>78.0</v>
      </c>
      <c r="M13" s="31"/>
      <c r="N13" s="32">
        <f t="shared" si="3"/>
        <v>31.2</v>
      </c>
      <c r="O13" s="30">
        <v>85.0</v>
      </c>
      <c r="P13" s="30">
        <v>70.0</v>
      </c>
      <c r="Q13" s="31"/>
      <c r="R13" s="32">
        <f t="shared" si="4"/>
        <v>62</v>
      </c>
      <c r="S13" s="30">
        <v>78.0</v>
      </c>
      <c r="T13" s="30">
        <v>79.0</v>
      </c>
      <c r="U13" s="31"/>
      <c r="V13" s="32">
        <f t="shared" si="5"/>
        <v>62.8</v>
      </c>
      <c r="W13" s="31"/>
      <c r="X13" s="30">
        <v>83.0</v>
      </c>
      <c r="Y13" s="31"/>
      <c r="Z13" s="32">
        <f t="shared" si="6"/>
        <v>33.2</v>
      </c>
      <c r="AA13" s="31"/>
      <c r="AB13" s="30">
        <v>80.0</v>
      </c>
      <c r="AC13" s="31"/>
      <c r="AD13" s="32">
        <f t="shared" si="7"/>
        <v>32</v>
      </c>
      <c r="AE13" s="31"/>
      <c r="AF13" s="31"/>
      <c r="AG13" s="31"/>
      <c r="AH13" s="32" t="str">
        <f t="shared" si="8"/>
        <v/>
      </c>
      <c r="AI13" s="33">
        <f t="shared" si="9"/>
        <v>285.2</v>
      </c>
      <c r="AJ13" s="33">
        <f t="shared" si="10"/>
        <v>47.5</v>
      </c>
      <c r="AK13" s="34">
        <f t="shared" si="11"/>
        <v>9</v>
      </c>
      <c r="AL13" s="35" t="str">
        <f t="shared" si="12"/>
        <v>D (Kurang)</v>
      </c>
    </row>
    <row r="14" ht="25.5" customHeight="1">
      <c r="A14" s="36">
        <v>8.0</v>
      </c>
      <c r="B14" s="37" t="s">
        <v>119</v>
      </c>
      <c r="C14" s="38">
        <v>85.0</v>
      </c>
      <c r="D14" s="38">
        <v>50.0</v>
      </c>
      <c r="E14" s="39"/>
      <c r="F14" s="32">
        <f t="shared" si="1"/>
        <v>54</v>
      </c>
      <c r="G14" s="39"/>
      <c r="H14" s="39"/>
      <c r="I14" s="39"/>
      <c r="J14" s="32" t="str">
        <f t="shared" si="2"/>
        <v/>
      </c>
      <c r="K14" s="39"/>
      <c r="L14" s="38">
        <v>90.0</v>
      </c>
      <c r="M14" s="39"/>
      <c r="N14" s="32">
        <f t="shared" si="3"/>
        <v>36</v>
      </c>
      <c r="O14" s="38">
        <v>85.0</v>
      </c>
      <c r="P14" s="38">
        <v>70.0</v>
      </c>
      <c r="Q14" s="39"/>
      <c r="R14" s="32">
        <f t="shared" si="4"/>
        <v>62</v>
      </c>
      <c r="S14" s="38">
        <v>80.0</v>
      </c>
      <c r="T14" s="38">
        <v>80.0</v>
      </c>
      <c r="U14" s="39"/>
      <c r="V14" s="32">
        <f t="shared" si="5"/>
        <v>64</v>
      </c>
      <c r="W14" s="39"/>
      <c r="X14" s="30">
        <v>84.0</v>
      </c>
      <c r="Y14" s="39"/>
      <c r="Z14" s="32">
        <f t="shared" si="6"/>
        <v>33.6</v>
      </c>
      <c r="AA14" s="39"/>
      <c r="AB14" s="38">
        <v>93.0</v>
      </c>
      <c r="AC14" s="39"/>
      <c r="AD14" s="32">
        <f t="shared" si="7"/>
        <v>37.2</v>
      </c>
      <c r="AE14" s="39"/>
      <c r="AF14" s="39"/>
      <c r="AG14" s="39"/>
      <c r="AH14" s="32" t="str">
        <f t="shared" si="8"/>
        <v/>
      </c>
      <c r="AI14" s="33">
        <f t="shared" si="9"/>
        <v>286.8</v>
      </c>
      <c r="AJ14" s="33">
        <f t="shared" si="10"/>
        <v>47.8</v>
      </c>
      <c r="AK14" s="34">
        <f t="shared" si="11"/>
        <v>8</v>
      </c>
      <c r="AL14" s="35" t="str">
        <f t="shared" si="12"/>
        <v>D (Kurang)</v>
      </c>
    </row>
    <row r="15" ht="25.5" customHeight="1">
      <c r="A15" s="28">
        <v>9.0</v>
      </c>
      <c r="B15" s="29" t="s">
        <v>120</v>
      </c>
      <c r="C15" s="30">
        <v>85.0</v>
      </c>
      <c r="D15" s="30">
        <v>50.0</v>
      </c>
      <c r="E15" s="31"/>
      <c r="F15" s="32">
        <f t="shared" si="1"/>
        <v>54</v>
      </c>
      <c r="G15" s="31"/>
      <c r="H15" s="31"/>
      <c r="I15" s="31"/>
      <c r="J15" s="32" t="str">
        <f t="shared" si="2"/>
        <v/>
      </c>
      <c r="K15" s="31"/>
      <c r="L15" s="30">
        <v>85.0</v>
      </c>
      <c r="M15" s="31"/>
      <c r="N15" s="32">
        <f t="shared" si="3"/>
        <v>34</v>
      </c>
      <c r="O15" s="30">
        <v>85.0</v>
      </c>
      <c r="P15" s="30">
        <v>100.0</v>
      </c>
      <c r="Q15" s="31"/>
      <c r="R15" s="32">
        <f t="shared" si="4"/>
        <v>74</v>
      </c>
      <c r="S15" s="30">
        <v>80.0</v>
      </c>
      <c r="T15" s="30">
        <v>78.0</v>
      </c>
      <c r="U15" s="31"/>
      <c r="V15" s="32">
        <f t="shared" si="5"/>
        <v>63.2</v>
      </c>
      <c r="W15" s="31"/>
      <c r="X15" s="30">
        <v>85.0</v>
      </c>
      <c r="Y15" s="31"/>
      <c r="Z15" s="32">
        <f t="shared" si="6"/>
        <v>34</v>
      </c>
      <c r="AA15" s="31"/>
      <c r="AB15" s="30">
        <v>95.0</v>
      </c>
      <c r="AC15" s="31"/>
      <c r="AD15" s="32">
        <f t="shared" si="7"/>
        <v>38</v>
      </c>
      <c r="AE15" s="31"/>
      <c r="AF15" s="31"/>
      <c r="AG15" s="31"/>
      <c r="AH15" s="32" t="str">
        <f t="shared" si="8"/>
        <v/>
      </c>
      <c r="AI15" s="33">
        <f t="shared" si="9"/>
        <v>297.2</v>
      </c>
      <c r="AJ15" s="33">
        <f t="shared" si="10"/>
        <v>49.5</v>
      </c>
      <c r="AK15" s="34">
        <f t="shared" si="11"/>
        <v>1</v>
      </c>
      <c r="AL15" s="35" t="str">
        <f t="shared" si="12"/>
        <v>D (Kurang)</v>
      </c>
    </row>
    <row r="16" ht="25.5" customHeight="1">
      <c r="A16" s="36">
        <v>10.0</v>
      </c>
      <c r="B16" s="37" t="s">
        <v>121</v>
      </c>
      <c r="C16" s="38">
        <v>85.0</v>
      </c>
      <c r="D16" s="38">
        <v>75.0</v>
      </c>
      <c r="E16" s="39"/>
      <c r="F16" s="32">
        <f t="shared" si="1"/>
        <v>64</v>
      </c>
      <c r="G16" s="39"/>
      <c r="H16" s="39"/>
      <c r="I16" s="39"/>
      <c r="J16" s="32" t="str">
        <f t="shared" si="2"/>
        <v/>
      </c>
      <c r="K16" s="39"/>
      <c r="L16" s="38">
        <v>80.0</v>
      </c>
      <c r="M16" s="39"/>
      <c r="N16" s="32">
        <f t="shared" si="3"/>
        <v>32</v>
      </c>
      <c r="O16" s="38">
        <v>85.0</v>
      </c>
      <c r="P16" s="38">
        <v>80.0</v>
      </c>
      <c r="Q16" s="39"/>
      <c r="R16" s="32">
        <f t="shared" si="4"/>
        <v>66</v>
      </c>
      <c r="S16" s="38">
        <v>80.0</v>
      </c>
      <c r="T16" s="38">
        <v>79.0</v>
      </c>
      <c r="U16" s="39"/>
      <c r="V16" s="32">
        <f t="shared" si="5"/>
        <v>63.6</v>
      </c>
      <c r="W16" s="39"/>
      <c r="X16" s="30">
        <v>80.0</v>
      </c>
      <c r="Y16" s="39"/>
      <c r="Z16" s="32">
        <f t="shared" si="6"/>
        <v>32</v>
      </c>
      <c r="AA16" s="39"/>
      <c r="AB16" s="38">
        <v>92.0</v>
      </c>
      <c r="AC16" s="39"/>
      <c r="AD16" s="32">
        <f t="shared" si="7"/>
        <v>36.8</v>
      </c>
      <c r="AE16" s="39"/>
      <c r="AF16" s="39"/>
      <c r="AG16" s="39"/>
      <c r="AH16" s="32" t="str">
        <f t="shared" si="8"/>
        <v/>
      </c>
      <c r="AI16" s="33">
        <f t="shared" si="9"/>
        <v>294.4</v>
      </c>
      <c r="AJ16" s="33">
        <f t="shared" si="10"/>
        <v>49.1</v>
      </c>
      <c r="AK16" s="34">
        <f t="shared" si="11"/>
        <v>3</v>
      </c>
      <c r="AL16" s="35" t="str">
        <f t="shared" si="12"/>
        <v>D (Kurang)</v>
      </c>
    </row>
    <row r="17" ht="25.5" customHeight="1">
      <c r="A17" s="28">
        <v>11.0</v>
      </c>
      <c r="B17" s="29" t="s">
        <v>122</v>
      </c>
      <c r="C17" s="30">
        <v>85.0</v>
      </c>
      <c r="D17" s="30">
        <v>50.0</v>
      </c>
      <c r="E17" s="31"/>
      <c r="F17" s="32">
        <f t="shared" si="1"/>
        <v>54</v>
      </c>
      <c r="G17" s="31"/>
      <c r="H17" s="31"/>
      <c r="I17" s="31"/>
      <c r="J17" s="32" t="str">
        <f t="shared" si="2"/>
        <v/>
      </c>
      <c r="K17" s="31"/>
      <c r="L17" s="30">
        <v>80.0</v>
      </c>
      <c r="M17" s="31"/>
      <c r="N17" s="32">
        <f t="shared" si="3"/>
        <v>32</v>
      </c>
      <c r="O17" s="30">
        <v>80.0</v>
      </c>
      <c r="P17" s="30">
        <v>90.0</v>
      </c>
      <c r="Q17" s="31"/>
      <c r="R17" s="32">
        <f t="shared" si="4"/>
        <v>68</v>
      </c>
      <c r="S17" s="30">
        <v>80.0</v>
      </c>
      <c r="T17" s="30">
        <v>80.0</v>
      </c>
      <c r="U17" s="31"/>
      <c r="V17" s="32">
        <f t="shared" si="5"/>
        <v>64</v>
      </c>
      <c r="W17" s="31"/>
      <c r="X17" s="30">
        <v>84.0</v>
      </c>
      <c r="Y17" s="31"/>
      <c r="Z17" s="32">
        <f t="shared" si="6"/>
        <v>33.6</v>
      </c>
      <c r="AA17" s="31"/>
      <c r="AB17" s="30">
        <v>80.0</v>
      </c>
      <c r="AC17" s="31"/>
      <c r="AD17" s="32">
        <f t="shared" si="7"/>
        <v>32</v>
      </c>
      <c r="AE17" s="31"/>
      <c r="AF17" s="31"/>
      <c r="AG17" s="31"/>
      <c r="AH17" s="32" t="str">
        <f t="shared" si="8"/>
        <v/>
      </c>
      <c r="AI17" s="33">
        <f t="shared" si="9"/>
        <v>283.6</v>
      </c>
      <c r="AJ17" s="33">
        <f t="shared" si="10"/>
        <v>47.3</v>
      </c>
      <c r="AK17" s="34">
        <f t="shared" si="11"/>
        <v>10</v>
      </c>
      <c r="AL17" s="35" t="str">
        <f t="shared" si="12"/>
        <v>D (Kurang)</v>
      </c>
    </row>
    <row r="18" ht="25.5" customHeight="1">
      <c r="A18" s="36">
        <v>12.0</v>
      </c>
      <c r="B18" s="37" t="s">
        <v>123</v>
      </c>
      <c r="C18" s="38">
        <v>85.0</v>
      </c>
      <c r="D18" s="38">
        <v>50.0</v>
      </c>
      <c r="E18" s="39"/>
      <c r="F18" s="32">
        <f t="shared" si="1"/>
        <v>54</v>
      </c>
      <c r="G18" s="39"/>
      <c r="H18" s="39"/>
      <c r="I18" s="39"/>
      <c r="J18" s="32" t="str">
        <f t="shared" si="2"/>
        <v/>
      </c>
      <c r="K18" s="39"/>
      <c r="L18" s="38">
        <v>70.0</v>
      </c>
      <c r="M18" s="39"/>
      <c r="N18" s="32">
        <f t="shared" si="3"/>
        <v>28</v>
      </c>
      <c r="O18" s="38">
        <v>70.0</v>
      </c>
      <c r="P18" s="38">
        <v>60.0</v>
      </c>
      <c r="Q18" s="39"/>
      <c r="R18" s="32">
        <f t="shared" si="4"/>
        <v>52</v>
      </c>
      <c r="S18" s="38">
        <v>75.0</v>
      </c>
      <c r="T18" s="38">
        <v>75.0</v>
      </c>
      <c r="U18" s="39"/>
      <c r="V18" s="32">
        <f t="shared" si="5"/>
        <v>60</v>
      </c>
      <c r="W18" s="39"/>
      <c r="X18" s="30">
        <v>82.0</v>
      </c>
      <c r="Y18" s="39"/>
      <c r="Z18" s="32">
        <f t="shared" si="6"/>
        <v>32.8</v>
      </c>
      <c r="AA18" s="39"/>
      <c r="AB18" s="38">
        <v>90.0</v>
      </c>
      <c r="AC18" s="39"/>
      <c r="AD18" s="32">
        <f t="shared" si="7"/>
        <v>36</v>
      </c>
      <c r="AE18" s="39"/>
      <c r="AF18" s="39"/>
      <c r="AG18" s="39"/>
      <c r="AH18" s="32" t="str">
        <f t="shared" si="8"/>
        <v/>
      </c>
      <c r="AI18" s="33">
        <f t="shared" si="9"/>
        <v>262.8</v>
      </c>
      <c r="AJ18" s="33">
        <f t="shared" si="10"/>
        <v>43.8</v>
      </c>
      <c r="AK18" s="34">
        <f t="shared" si="11"/>
        <v>13</v>
      </c>
      <c r="AL18" s="35" t="str">
        <f t="shared" si="12"/>
        <v>D (Kurang)</v>
      </c>
    </row>
    <row r="19" ht="25.5" customHeight="1">
      <c r="A19" s="28">
        <v>13.0</v>
      </c>
      <c r="B19" s="29" t="s">
        <v>124</v>
      </c>
      <c r="C19" s="30">
        <v>85.0</v>
      </c>
      <c r="D19" s="30">
        <v>75.0</v>
      </c>
      <c r="E19" s="31"/>
      <c r="F19" s="32">
        <f t="shared" si="1"/>
        <v>64</v>
      </c>
      <c r="G19" s="31"/>
      <c r="H19" s="31"/>
      <c r="I19" s="31"/>
      <c r="J19" s="32" t="str">
        <f t="shared" si="2"/>
        <v/>
      </c>
      <c r="K19" s="31"/>
      <c r="L19" s="30">
        <v>85.0</v>
      </c>
      <c r="M19" s="31"/>
      <c r="N19" s="32">
        <f t="shared" si="3"/>
        <v>34</v>
      </c>
      <c r="O19" s="30">
        <v>85.0</v>
      </c>
      <c r="P19" s="30">
        <v>70.0</v>
      </c>
      <c r="Q19" s="31"/>
      <c r="R19" s="32">
        <f t="shared" si="4"/>
        <v>62</v>
      </c>
      <c r="S19" s="30">
        <v>80.0</v>
      </c>
      <c r="T19" s="30">
        <v>80.0</v>
      </c>
      <c r="U19" s="31"/>
      <c r="V19" s="32">
        <f t="shared" si="5"/>
        <v>64</v>
      </c>
      <c r="W19" s="31"/>
      <c r="X19" s="30">
        <v>83.0</v>
      </c>
      <c r="Y19" s="31"/>
      <c r="Z19" s="32">
        <f t="shared" si="6"/>
        <v>33.2</v>
      </c>
      <c r="AA19" s="31"/>
      <c r="AB19" s="30">
        <v>92.0</v>
      </c>
      <c r="AC19" s="31"/>
      <c r="AD19" s="32">
        <f t="shared" si="7"/>
        <v>36.8</v>
      </c>
      <c r="AE19" s="31"/>
      <c r="AF19" s="31"/>
      <c r="AG19" s="31"/>
      <c r="AH19" s="32" t="str">
        <f t="shared" si="8"/>
        <v/>
      </c>
      <c r="AI19" s="33">
        <f t="shared" si="9"/>
        <v>294</v>
      </c>
      <c r="AJ19" s="33">
        <f t="shared" si="10"/>
        <v>49</v>
      </c>
      <c r="AK19" s="34">
        <f t="shared" si="11"/>
        <v>4</v>
      </c>
      <c r="AL19" s="35" t="str">
        <f t="shared" si="12"/>
        <v>D (Kurang)</v>
      </c>
    </row>
    <row r="20" ht="25.5" customHeight="1">
      <c r="A20" s="36">
        <v>14.0</v>
      </c>
      <c r="B20" s="37" t="s">
        <v>125</v>
      </c>
      <c r="C20" s="38">
        <v>85.0</v>
      </c>
      <c r="D20" s="38">
        <v>50.0</v>
      </c>
      <c r="E20" s="39"/>
      <c r="F20" s="32">
        <f t="shared" si="1"/>
        <v>54</v>
      </c>
      <c r="G20" s="39"/>
      <c r="H20" s="39"/>
      <c r="I20" s="39"/>
      <c r="J20" s="32" t="str">
        <f t="shared" si="2"/>
        <v/>
      </c>
      <c r="K20" s="39"/>
      <c r="L20" s="38">
        <v>60.0</v>
      </c>
      <c r="M20" s="39"/>
      <c r="N20" s="32">
        <f t="shared" si="3"/>
        <v>24</v>
      </c>
      <c r="O20" s="38">
        <v>70.0</v>
      </c>
      <c r="P20" s="38">
        <v>50.0</v>
      </c>
      <c r="Q20" s="39"/>
      <c r="R20" s="32">
        <f t="shared" si="4"/>
        <v>48</v>
      </c>
      <c r="S20" s="38">
        <v>75.0</v>
      </c>
      <c r="T20" s="38">
        <v>75.0</v>
      </c>
      <c r="U20" s="39"/>
      <c r="V20" s="32">
        <f t="shared" si="5"/>
        <v>60</v>
      </c>
      <c r="W20" s="39"/>
      <c r="X20" s="30">
        <v>83.0</v>
      </c>
      <c r="Y20" s="39"/>
      <c r="Z20" s="32">
        <f t="shared" si="6"/>
        <v>33.2</v>
      </c>
      <c r="AA20" s="39"/>
      <c r="AB20" s="38">
        <v>90.0</v>
      </c>
      <c r="AC20" s="39"/>
      <c r="AD20" s="32">
        <f t="shared" si="7"/>
        <v>36</v>
      </c>
      <c r="AE20" s="39"/>
      <c r="AF20" s="39"/>
      <c r="AG20" s="39"/>
      <c r="AH20" s="32" t="str">
        <f t="shared" si="8"/>
        <v/>
      </c>
      <c r="AI20" s="33">
        <f t="shared" si="9"/>
        <v>255.2</v>
      </c>
      <c r="AJ20" s="33">
        <f t="shared" si="10"/>
        <v>42.5</v>
      </c>
      <c r="AK20" s="34">
        <f t="shared" si="11"/>
        <v>14</v>
      </c>
      <c r="AL20" s="35" t="str">
        <f t="shared" si="12"/>
        <v>D (Kurang)</v>
      </c>
    </row>
    <row r="21" ht="21.75" customHeight="1">
      <c r="A21" s="40" t="s">
        <v>44</v>
      </c>
      <c r="B21" s="41"/>
      <c r="C21" s="42">
        <f t="shared" ref="C21:AJ21" si="13">IFERROR(ROUND(AVERAGE(C7:C20), 1), "")</f>
        <v>85</v>
      </c>
      <c r="D21" s="42">
        <f t="shared" si="13"/>
        <v>64.3</v>
      </c>
      <c r="E21" s="42" t="str">
        <f t="shared" si="13"/>
        <v/>
      </c>
      <c r="F21" s="43">
        <f t="shared" si="13"/>
        <v>59.7</v>
      </c>
      <c r="G21" s="42" t="str">
        <f t="shared" si="13"/>
        <v/>
      </c>
      <c r="H21" s="42" t="str">
        <f t="shared" si="13"/>
        <v/>
      </c>
      <c r="I21" s="42" t="str">
        <f t="shared" si="13"/>
        <v/>
      </c>
      <c r="J21" s="43" t="str">
        <f t="shared" si="13"/>
        <v/>
      </c>
      <c r="K21" s="42" t="str">
        <f t="shared" si="13"/>
        <v/>
      </c>
      <c r="L21" s="42">
        <f t="shared" si="13"/>
        <v>79.4</v>
      </c>
      <c r="M21" s="42" t="str">
        <f t="shared" si="13"/>
        <v/>
      </c>
      <c r="N21" s="43">
        <f t="shared" si="13"/>
        <v>31.7</v>
      </c>
      <c r="O21" s="42">
        <f t="shared" si="13"/>
        <v>81.8</v>
      </c>
      <c r="P21" s="42">
        <f t="shared" si="13"/>
        <v>72.9</v>
      </c>
      <c r="Q21" s="42" t="str">
        <f t="shared" si="13"/>
        <v/>
      </c>
      <c r="R21" s="43">
        <f t="shared" si="13"/>
        <v>61.9</v>
      </c>
      <c r="S21" s="42">
        <f t="shared" si="13"/>
        <v>78.4</v>
      </c>
      <c r="T21" s="42">
        <f t="shared" si="13"/>
        <v>78.6</v>
      </c>
      <c r="U21" s="42" t="str">
        <f t="shared" si="13"/>
        <v/>
      </c>
      <c r="V21" s="43">
        <f t="shared" si="13"/>
        <v>62.8</v>
      </c>
      <c r="W21" s="42" t="str">
        <f t="shared" si="13"/>
        <v/>
      </c>
      <c r="X21" s="42">
        <f t="shared" si="13"/>
        <v>82.7</v>
      </c>
      <c r="Y21" s="42" t="str">
        <f t="shared" si="13"/>
        <v/>
      </c>
      <c r="Z21" s="43">
        <f t="shared" si="13"/>
        <v>33.1</v>
      </c>
      <c r="AA21" s="42" t="str">
        <f t="shared" si="13"/>
        <v/>
      </c>
      <c r="AB21" s="42">
        <f t="shared" si="13"/>
        <v>88.9</v>
      </c>
      <c r="AC21" s="42" t="str">
        <f t="shared" si="13"/>
        <v/>
      </c>
      <c r="AD21" s="43">
        <f t="shared" si="13"/>
        <v>35.6</v>
      </c>
      <c r="AE21" s="42" t="str">
        <f t="shared" si="13"/>
        <v/>
      </c>
      <c r="AF21" s="42" t="str">
        <f t="shared" si="13"/>
        <v/>
      </c>
      <c r="AG21" s="42" t="str">
        <f t="shared" si="13"/>
        <v/>
      </c>
      <c r="AH21" s="43" t="str">
        <f t="shared" si="13"/>
        <v/>
      </c>
      <c r="AI21" s="42">
        <f t="shared" si="13"/>
        <v>284.8</v>
      </c>
      <c r="AJ21" s="42">
        <f t="shared" si="13"/>
        <v>47.5</v>
      </c>
      <c r="AK21" s="42" t="s">
        <v>45</v>
      </c>
      <c r="AL21" s="43" t="s">
        <v>45</v>
      </c>
    </row>
    <row r="22" ht="21.75" customHeight="1">
      <c r="A22" s="44" t="s">
        <v>46</v>
      </c>
      <c r="B22" s="45"/>
      <c r="C22" s="46">
        <f t="shared" ref="C22:AJ22" si="14">IFERROR(MAX(C7:C20), "")</f>
        <v>85</v>
      </c>
      <c r="D22" s="46">
        <f t="shared" si="14"/>
        <v>75</v>
      </c>
      <c r="E22" s="46">
        <f t="shared" si="14"/>
        <v>0</v>
      </c>
      <c r="F22" s="47">
        <f t="shared" si="14"/>
        <v>64</v>
      </c>
      <c r="G22" s="46">
        <f t="shared" si="14"/>
        <v>0</v>
      </c>
      <c r="H22" s="46">
        <f t="shared" si="14"/>
        <v>0</v>
      </c>
      <c r="I22" s="46">
        <f t="shared" si="14"/>
        <v>0</v>
      </c>
      <c r="J22" s="47">
        <f t="shared" si="14"/>
        <v>0</v>
      </c>
      <c r="K22" s="46">
        <f t="shared" si="14"/>
        <v>0</v>
      </c>
      <c r="L22" s="46">
        <f t="shared" si="14"/>
        <v>90</v>
      </c>
      <c r="M22" s="46">
        <f t="shared" si="14"/>
        <v>0</v>
      </c>
      <c r="N22" s="47">
        <f t="shared" si="14"/>
        <v>36</v>
      </c>
      <c r="O22" s="46">
        <f t="shared" si="14"/>
        <v>85</v>
      </c>
      <c r="P22" s="46">
        <f t="shared" si="14"/>
        <v>100</v>
      </c>
      <c r="Q22" s="46">
        <f t="shared" si="14"/>
        <v>0</v>
      </c>
      <c r="R22" s="47">
        <f t="shared" si="14"/>
        <v>74</v>
      </c>
      <c r="S22" s="46">
        <f t="shared" si="14"/>
        <v>80</v>
      </c>
      <c r="T22" s="46">
        <f t="shared" si="14"/>
        <v>80</v>
      </c>
      <c r="U22" s="46">
        <f t="shared" si="14"/>
        <v>0</v>
      </c>
      <c r="V22" s="47">
        <f t="shared" si="14"/>
        <v>64</v>
      </c>
      <c r="W22" s="46">
        <f t="shared" si="14"/>
        <v>0</v>
      </c>
      <c r="X22" s="46">
        <f t="shared" si="14"/>
        <v>85</v>
      </c>
      <c r="Y22" s="46">
        <f t="shared" si="14"/>
        <v>0</v>
      </c>
      <c r="Z22" s="47">
        <f t="shared" si="14"/>
        <v>34</v>
      </c>
      <c r="AA22" s="46">
        <f t="shared" si="14"/>
        <v>0</v>
      </c>
      <c r="AB22" s="46">
        <f t="shared" si="14"/>
        <v>98</v>
      </c>
      <c r="AC22" s="46">
        <f t="shared" si="14"/>
        <v>0</v>
      </c>
      <c r="AD22" s="47">
        <f t="shared" si="14"/>
        <v>39.2</v>
      </c>
      <c r="AE22" s="46">
        <f t="shared" si="14"/>
        <v>0</v>
      </c>
      <c r="AF22" s="46">
        <f t="shared" si="14"/>
        <v>0</v>
      </c>
      <c r="AG22" s="46">
        <f t="shared" si="14"/>
        <v>0</v>
      </c>
      <c r="AH22" s="47">
        <f t="shared" si="14"/>
        <v>0</v>
      </c>
      <c r="AI22" s="46">
        <f t="shared" si="14"/>
        <v>297.2</v>
      </c>
      <c r="AJ22" s="46">
        <f t="shared" si="14"/>
        <v>49.5</v>
      </c>
      <c r="AK22" s="46" t="s">
        <v>45</v>
      </c>
      <c r="AL22" s="47" t="s">
        <v>45</v>
      </c>
    </row>
    <row r="23" ht="21.75" customHeight="1">
      <c r="A23" s="48" t="s">
        <v>47</v>
      </c>
      <c r="B23" s="49"/>
      <c r="C23" s="50">
        <f t="shared" ref="C23:AJ23" si="15">IFERROR(MIN(C7:C20), "")</f>
        <v>85</v>
      </c>
      <c r="D23" s="50">
        <f t="shared" si="15"/>
        <v>50</v>
      </c>
      <c r="E23" s="50">
        <f t="shared" si="15"/>
        <v>0</v>
      </c>
      <c r="F23" s="51">
        <f t="shared" si="15"/>
        <v>54</v>
      </c>
      <c r="G23" s="50">
        <f t="shared" si="15"/>
        <v>0</v>
      </c>
      <c r="H23" s="50">
        <f t="shared" si="15"/>
        <v>0</v>
      </c>
      <c r="I23" s="50">
        <f t="shared" si="15"/>
        <v>0</v>
      </c>
      <c r="J23" s="51">
        <f t="shared" si="15"/>
        <v>0</v>
      </c>
      <c r="K23" s="50">
        <f t="shared" si="15"/>
        <v>0</v>
      </c>
      <c r="L23" s="50">
        <f t="shared" si="15"/>
        <v>60</v>
      </c>
      <c r="M23" s="50">
        <f t="shared" si="15"/>
        <v>0</v>
      </c>
      <c r="N23" s="51">
        <f t="shared" si="15"/>
        <v>24</v>
      </c>
      <c r="O23" s="50">
        <f t="shared" si="15"/>
        <v>70</v>
      </c>
      <c r="P23" s="50">
        <f t="shared" si="15"/>
        <v>50</v>
      </c>
      <c r="Q23" s="50">
        <f t="shared" si="15"/>
        <v>0</v>
      </c>
      <c r="R23" s="51">
        <f t="shared" si="15"/>
        <v>48</v>
      </c>
      <c r="S23" s="50">
        <f t="shared" si="15"/>
        <v>75</v>
      </c>
      <c r="T23" s="50">
        <f t="shared" si="15"/>
        <v>75</v>
      </c>
      <c r="U23" s="50">
        <f t="shared" si="15"/>
        <v>0</v>
      </c>
      <c r="V23" s="51">
        <f t="shared" si="15"/>
        <v>60</v>
      </c>
      <c r="W23" s="50">
        <f t="shared" si="15"/>
        <v>0</v>
      </c>
      <c r="X23" s="50">
        <f t="shared" si="15"/>
        <v>80</v>
      </c>
      <c r="Y23" s="50">
        <f t="shared" si="15"/>
        <v>0</v>
      </c>
      <c r="Z23" s="51">
        <f t="shared" si="15"/>
        <v>32</v>
      </c>
      <c r="AA23" s="50">
        <f t="shared" si="15"/>
        <v>0</v>
      </c>
      <c r="AB23" s="50">
        <f t="shared" si="15"/>
        <v>80</v>
      </c>
      <c r="AC23" s="50">
        <f t="shared" si="15"/>
        <v>0</v>
      </c>
      <c r="AD23" s="51">
        <f t="shared" si="15"/>
        <v>32</v>
      </c>
      <c r="AE23" s="50">
        <f t="shared" si="15"/>
        <v>0</v>
      </c>
      <c r="AF23" s="50">
        <f t="shared" si="15"/>
        <v>0</v>
      </c>
      <c r="AG23" s="50">
        <f t="shared" si="15"/>
        <v>0</v>
      </c>
      <c r="AH23" s="51">
        <f t="shared" si="15"/>
        <v>0</v>
      </c>
      <c r="AI23" s="50">
        <f t="shared" si="15"/>
        <v>255.2</v>
      </c>
      <c r="AJ23" s="50">
        <f t="shared" si="15"/>
        <v>42.5</v>
      </c>
      <c r="AK23" s="50" t="s">
        <v>45</v>
      </c>
      <c r="AL23" s="51" t="s">
        <v>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5:J5"/>
    <mergeCell ref="K5:N5"/>
    <mergeCell ref="A21:B21"/>
    <mergeCell ref="A22:B22"/>
    <mergeCell ref="A23:B23"/>
    <mergeCell ref="O5:R5"/>
    <mergeCell ref="S5:V5"/>
    <mergeCell ref="W5:Z5"/>
    <mergeCell ref="AA5:AD5"/>
    <mergeCell ref="AE5:AH5"/>
    <mergeCell ref="AI5:AL5"/>
    <mergeCell ref="A1:AL1"/>
    <mergeCell ref="A2:AL2"/>
    <mergeCell ref="A3:B3"/>
    <mergeCell ref="C3:AH3"/>
    <mergeCell ref="AI3:AL3"/>
    <mergeCell ref="A5:B5"/>
    <mergeCell ref="C5:F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86"/>
    <col customWidth="1" min="2" max="2" width="25.86"/>
    <col customWidth="1" min="3" max="5" width="5.43"/>
    <col customWidth="1" min="6" max="6" width="6.86"/>
    <col customWidth="1" min="7" max="9" width="5.43"/>
    <col customWidth="1" min="10" max="10" width="6.86"/>
    <col customWidth="1" min="11" max="13" width="5.43"/>
    <col customWidth="1" min="14" max="14" width="6.86"/>
    <col customWidth="1" min="15" max="17" width="5.43"/>
    <col customWidth="1" min="18" max="18" width="6.86"/>
    <col customWidth="1" min="19" max="21" width="5.43"/>
    <col customWidth="1" min="22" max="22" width="6.86"/>
    <col customWidth="1" min="23" max="25" width="5.43"/>
    <col customWidth="1" min="26" max="26" width="6.86"/>
    <col customWidth="1" min="27" max="29" width="5.43"/>
    <col customWidth="1" min="30" max="30" width="6.86"/>
    <col customWidth="1" min="31" max="33" width="5.43"/>
    <col customWidth="1" min="34" max="34" width="6.86"/>
    <col customWidth="1" min="35" max="36" width="7.43"/>
    <col customWidth="1" min="37" max="37" width="6.0"/>
    <col customWidth="1" min="38" max="38" width="13.0"/>
  </cols>
  <sheetData>
    <row r="1" ht="27.75" customHeight="1">
      <c r="A1" s="1" t="s">
        <v>126</v>
      </c>
    </row>
    <row r="2" ht="18.0" customHeight="1">
      <c r="A2" s="2" t="s">
        <v>127</v>
      </c>
    </row>
    <row r="3" ht="18.0" customHeight="1">
      <c r="A3" s="3" t="s">
        <v>128</v>
      </c>
      <c r="C3" s="4" t="s">
        <v>3</v>
      </c>
      <c r="AI3" s="5" t="str">
        <f>HYPERLINK("#'Dashboard &amp; Panduan'!A1", "⬅ Kembali ke Menu")</f>
        <v>⬅ Kembali ke Menu</v>
      </c>
    </row>
    <row r="4" ht="6.0" customHeight="1"/>
    <row r="5" ht="24.0" customHeight="1">
      <c r="A5" s="6" t="s">
        <v>4</v>
      </c>
      <c r="B5" s="7"/>
      <c r="C5" s="8" t="s">
        <v>5</v>
      </c>
      <c r="D5" s="9"/>
      <c r="E5" s="9"/>
      <c r="F5" s="7"/>
      <c r="G5" s="10" t="s">
        <v>6</v>
      </c>
      <c r="H5" s="9"/>
      <c r="I5" s="9"/>
      <c r="J5" s="7"/>
      <c r="K5" s="11" t="s">
        <v>7</v>
      </c>
      <c r="L5" s="9"/>
      <c r="M5" s="9"/>
      <c r="N5" s="7"/>
      <c r="O5" s="56" t="s">
        <v>111</v>
      </c>
      <c r="P5" s="9"/>
      <c r="Q5" s="9"/>
      <c r="R5" s="7"/>
      <c r="S5" s="13" t="s">
        <v>9</v>
      </c>
      <c r="T5" s="9"/>
      <c r="U5" s="9"/>
      <c r="V5" s="7"/>
      <c r="W5" s="14" t="s">
        <v>10</v>
      </c>
      <c r="X5" s="9"/>
      <c r="Y5" s="9"/>
      <c r="Z5" s="7"/>
      <c r="AA5" s="15" t="s">
        <v>11</v>
      </c>
      <c r="AB5" s="9"/>
      <c r="AC5" s="9"/>
      <c r="AD5" s="7"/>
      <c r="AE5" s="16" t="s">
        <v>12</v>
      </c>
      <c r="AF5" s="9"/>
      <c r="AG5" s="9"/>
      <c r="AH5" s="7"/>
      <c r="AI5" s="17" t="s">
        <v>13</v>
      </c>
      <c r="AJ5" s="9"/>
      <c r="AK5" s="9"/>
      <c r="AL5" s="7"/>
    </row>
    <row r="6" ht="19.5" customHeight="1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20" t="s">
        <v>19</v>
      </c>
      <c r="G6" s="21" t="s">
        <v>16</v>
      </c>
      <c r="H6" s="21" t="s">
        <v>17</v>
      </c>
      <c r="I6" s="21" t="s">
        <v>18</v>
      </c>
      <c r="J6" s="20" t="s">
        <v>19</v>
      </c>
      <c r="K6" s="22" t="s">
        <v>16</v>
      </c>
      <c r="L6" s="22" t="s">
        <v>17</v>
      </c>
      <c r="M6" s="22" t="s">
        <v>18</v>
      </c>
      <c r="N6" s="20" t="s">
        <v>19</v>
      </c>
      <c r="O6" s="23" t="s">
        <v>16</v>
      </c>
      <c r="P6" s="23" t="s">
        <v>17</v>
      </c>
      <c r="Q6" s="23" t="s">
        <v>18</v>
      </c>
      <c r="R6" s="20" t="s">
        <v>19</v>
      </c>
      <c r="S6" s="24" t="s">
        <v>16</v>
      </c>
      <c r="T6" s="24" t="s">
        <v>17</v>
      </c>
      <c r="U6" s="24" t="s">
        <v>18</v>
      </c>
      <c r="V6" s="20" t="s">
        <v>19</v>
      </c>
      <c r="W6" s="25" t="s">
        <v>16</v>
      </c>
      <c r="X6" s="25" t="s">
        <v>17</v>
      </c>
      <c r="Y6" s="25" t="s">
        <v>18</v>
      </c>
      <c r="Z6" s="20" t="s">
        <v>19</v>
      </c>
      <c r="AA6" s="18" t="s">
        <v>16</v>
      </c>
      <c r="AB6" s="18" t="s">
        <v>17</v>
      </c>
      <c r="AC6" s="18" t="s">
        <v>18</v>
      </c>
      <c r="AD6" s="20" t="s">
        <v>19</v>
      </c>
      <c r="AE6" s="26" t="s">
        <v>16</v>
      </c>
      <c r="AF6" s="26" t="s">
        <v>17</v>
      </c>
      <c r="AG6" s="26" t="s">
        <v>18</v>
      </c>
      <c r="AH6" s="20" t="s">
        <v>19</v>
      </c>
      <c r="AI6" s="27" t="s">
        <v>20</v>
      </c>
      <c r="AJ6" s="27" t="s">
        <v>21</v>
      </c>
      <c r="AK6" s="27" t="s">
        <v>22</v>
      </c>
      <c r="AL6" s="27" t="s">
        <v>23</v>
      </c>
    </row>
    <row r="7" ht="25.5" customHeight="1">
      <c r="A7" s="28">
        <v>1.0</v>
      </c>
      <c r="B7" s="29" t="s">
        <v>129</v>
      </c>
      <c r="C7" s="30">
        <v>85.0</v>
      </c>
      <c r="D7" s="30">
        <v>95.0</v>
      </c>
      <c r="E7" s="31"/>
      <c r="F7" s="32">
        <f t="shared" ref="F7:F25" si="1">IF(COUNT(C7:E7)=0, "", ROUND(C7*0.4 + D7*0.4 + E7*0.2, 1))</f>
        <v>72</v>
      </c>
      <c r="G7" s="31"/>
      <c r="H7" s="31"/>
      <c r="I7" s="31"/>
      <c r="J7" s="32" t="str">
        <f t="shared" ref="J7:J25" si="2">IF(COUNT(G7:I7)=0, "", ROUND(G7*0.4 + H7*0.4 + I7*0.2, 1))</f>
        <v/>
      </c>
      <c r="K7" s="30"/>
      <c r="L7" s="30">
        <v>88.0</v>
      </c>
      <c r="M7" s="31"/>
      <c r="N7" s="32">
        <f t="shared" ref="N7:N25" si="3">IF(COUNT(K7:M7)=0, "", ROUND(K7*0.4 + L7*0.4 + M7*0.2, 1))</f>
        <v>35.2</v>
      </c>
      <c r="O7" s="30">
        <v>75.0</v>
      </c>
      <c r="P7" s="30">
        <v>70.0</v>
      </c>
      <c r="Q7" s="31"/>
      <c r="R7" s="32">
        <f t="shared" ref="R7:R25" si="4">IF(COUNT(O7:Q7)=0, "", ROUND(O7*0.4 + P7*0.4 + Q7*0.2, 1))</f>
        <v>58</v>
      </c>
      <c r="S7" s="30">
        <v>78.0</v>
      </c>
      <c r="T7" s="30">
        <v>78.0</v>
      </c>
      <c r="U7" s="31"/>
      <c r="V7" s="32">
        <f t="shared" ref="V7:V25" si="5">IF(COUNT(S7:U7)=0, "", ROUND(S7*0.4 + T7*0.4 + U7*0.2, 1))</f>
        <v>62.4</v>
      </c>
      <c r="W7" s="31"/>
      <c r="X7" s="31">
        <v>85.0</v>
      </c>
      <c r="Y7" s="31"/>
      <c r="Z7" s="32">
        <f t="shared" ref="Z7:Z25" si="6">IF(COUNT(W7:Y7)=0, "", ROUND(W7*0.4 + X7*0.4 + Y7*0.2, 1))</f>
        <v>34</v>
      </c>
      <c r="AA7" s="31"/>
      <c r="AB7" s="30">
        <v>85.0</v>
      </c>
      <c r="AC7" s="31"/>
      <c r="AD7" s="32">
        <f t="shared" ref="AD7:AD25" si="7">IF(COUNT(AA7:AC7)=0, "", ROUND(AA7*0.4 + AB7*0.4 + AC7*0.2, 1))</f>
        <v>34</v>
      </c>
      <c r="AE7" s="31"/>
      <c r="AF7" s="31"/>
      <c r="AG7" s="31"/>
      <c r="AH7" s="32" t="str">
        <f t="shared" ref="AH7:AH25" si="8">IF(COUNT(AE7:AG7)=0, "", ROUND(AE7*0.4 + AF7*0.4 + AG7*0.2, 1))</f>
        <v/>
      </c>
      <c r="AI7" s="33">
        <f t="shared" ref="AI7:AI25" si="9">IFERROR(SUM(F7,J7,N7,R7,V7,Z7,AD7,AH7), "")</f>
        <v>295.6</v>
      </c>
      <c r="AJ7" s="33">
        <f t="shared" ref="AJ7:AJ25" si="10">IFERROR(ROUND(AVERAGE(F7,J7,N7,R7,V7,Z7,AD7,AH7), 1), "")</f>
        <v>49.3</v>
      </c>
      <c r="AK7" s="34">
        <f t="shared" ref="AK7:AK25" si="11">IF(AJ7="", "", RANK(AJ7, $AJ$7:$AJ$25))</f>
        <v>8</v>
      </c>
      <c r="AL7" s="35" t="str">
        <f t="shared" ref="AL7:AL25" si="12">IF(AJ7="", "", IF(AJ7&gt;=90, "A (Sangat Baik)", IF(AJ7&gt;=80, "B (Baik)", IF(AJ7&gt;=70, "C (Cukup)", "D (Kurang)"))))</f>
        <v>D (Kurang)</v>
      </c>
    </row>
    <row r="8" ht="25.5" customHeight="1">
      <c r="A8" s="36">
        <v>2.0</v>
      </c>
      <c r="B8" s="37" t="s">
        <v>130</v>
      </c>
      <c r="C8" s="38">
        <v>85.0</v>
      </c>
      <c r="D8" s="39"/>
      <c r="E8" s="39"/>
      <c r="F8" s="32">
        <f t="shared" si="1"/>
        <v>34</v>
      </c>
      <c r="G8" s="39"/>
      <c r="H8" s="39"/>
      <c r="I8" s="39"/>
      <c r="J8" s="32" t="str">
        <f t="shared" si="2"/>
        <v/>
      </c>
      <c r="K8" s="38"/>
      <c r="L8" s="39"/>
      <c r="M8" s="39"/>
      <c r="N8" s="32" t="str">
        <f t="shared" si="3"/>
        <v/>
      </c>
      <c r="O8" s="38">
        <v>75.0</v>
      </c>
      <c r="P8" s="39"/>
      <c r="Q8" s="39"/>
      <c r="R8" s="32">
        <f t="shared" si="4"/>
        <v>30</v>
      </c>
      <c r="S8" s="38">
        <v>75.0</v>
      </c>
      <c r="T8" s="38">
        <v>75.0</v>
      </c>
      <c r="U8" s="39"/>
      <c r="V8" s="32">
        <f t="shared" si="5"/>
        <v>60</v>
      </c>
      <c r="W8" s="39"/>
      <c r="X8" s="31">
        <v>81.0</v>
      </c>
      <c r="Y8" s="39"/>
      <c r="Z8" s="32">
        <f t="shared" si="6"/>
        <v>32.4</v>
      </c>
      <c r="AA8" s="39"/>
      <c r="AB8" s="38">
        <v>80.0</v>
      </c>
      <c r="AC8" s="39"/>
      <c r="AD8" s="32">
        <f t="shared" si="7"/>
        <v>32</v>
      </c>
      <c r="AE8" s="39"/>
      <c r="AF8" s="39"/>
      <c r="AG8" s="39"/>
      <c r="AH8" s="32" t="str">
        <f t="shared" si="8"/>
        <v/>
      </c>
      <c r="AI8" s="33">
        <f t="shared" si="9"/>
        <v>188.4</v>
      </c>
      <c r="AJ8" s="33">
        <f t="shared" si="10"/>
        <v>37.7</v>
      </c>
      <c r="AK8" s="34">
        <f t="shared" si="11"/>
        <v>19</v>
      </c>
      <c r="AL8" s="35" t="str">
        <f t="shared" si="12"/>
        <v>D (Kurang)</v>
      </c>
    </row>
    <row r="9" ht="25.5" customHeight="1">
      <c r="A9" s="28">
        <v>3.0</v>
      </c>
      <c r="B9" s="29" t="s">
        <v>131</v>
      </c>
      <c r="C9" s="30">
        <v>85.0</v>
      </c>
      <c r="D9" s="30">
        <v>90.0</v>
      </c>
      <c r="E9" s="31"/>
      <c r="F9" s="32">
        <f t="shared" si="1"/>
        <v>70</v>
      </c>
      <c r="G9" s="31"/>
      <c r="H9" s="31"/>
      <c r="I9" s="31"/>
      <c r="J9" s="32" t="str">
        <f t="shared" si="2"/>
        <v/>
      </c>
      <c r="K9" s="31"/>
      <c r="L9" s="30">
        <v>76.0</v>
      </c>
      <c r="M9" s="31"/>
      <c r="N9" s="32">
        <f t="shared" si="3"/>
        <v>30.4</v>
      </c>
      <c r="O9" s="30">
        <v>65.0</v>
      </c>
      <c r="P9" s="30">
        <v>90.0</v>
      </c>
      <c r="Q9" s="31"/>
      <c r="R9" s="32">
        <f t="shared" si="4"/>
        <v>62</v>
      </c>
      <c r="S9" s="30">
        <v>75.0</v>
      </c>
      <c r="T9" s="30">
        <v>78.0</v>
      </c>
      <c r="U9" s="31"/>
      <c r="V9" s="32">
        <f t="shared" si="5"/>
        <v>61.2</v>
      </c>
      <c r="W9" s="31"/>
      <c r="X9" s="31">
        <v>82.0</v>
      </c>
      <c r="Y9" s="31"/>
      <c r="Z9" s="32">
        <f t="shared" si="6"/>
        <v>32.8</v>
      </c>
      <c r="AA9" s="31"/>
      <c r="AB9" s="30">
        <v>90.0</v>
      </c>
      <c r="AC9" s="31"/>
      <c r="AD9" s="32">
        <f t="shared" si="7"/>
        <v>36</v>
      </c>
      <c r="AE9" s="31"/>
      <c r="AF9" s="31"/>
      <c r="AG9" s="31"/>
      <c r="AH9" s="32" t="str">
        <f t="shared" si="8"/>
        <v/>
      </c>
      <c r="AI9" s="33">
        <f t="shared" si="9"/>
        <v>292.4</v>
      </c>
      <c r="AJ9" s="33">
        <f t="shared" si="10"/>
        <v>48.7</v>
      </c>
      <c r="AK9" s="34">
        <f t="shared" si="11"/>
        <v>12</v>
      </c>
      <c r="AL9" s="35" t="str">
        <f t="shared" si="12"/>
        <v>D (Kurang)</v>
      </c>
    </row>
    <row r="10" ht="25.5" customHeight="1">
      <c r="A10" s="36">
        <v>4.0</v>
      </c>
      <c r="B10" s="37" t="s">
        <v>132</v>
      </c>
      <c r="C10" s="38">
        <v>85.0</v>
      </c>
      <c r="D10" s="38">
        <v>95.0</v>
      </c>
      <c r="E10" s="39"/>
      <c r="F10" s="32">
        <f t="shared" si="1"/>
        <v>72</v>
      </c>
      <c r="G10" s="39"/>
      <c r="H10" s="39"/>
      <c r="I10" s="39"/>
      <c r="J10" s="32" t="str">
        <f t="shared" si="2"/>
        <v/>
      </c>
      <c r="K10" s="39"/>
      <c r="L10" s="38">
        <v>85.0</v>
      </c>
      <c r="M10" s="39"/>
      <c r="N10" s="32">
        <f t="shared" si="3"/>
        <v>34</v>
      </c>
      <c r="O10" s="38">
        <v>80.0</v>
      </c>
      <c r="P10" s="38">
        <v>80.0</v>
      </c>
      <c r="Q10" s="39"/>
      <c r="R10" s="32">
        <f t="shared" si="4"/>
        <v>64</v>
      </c>
      <c r="S10" s="38">
        <v>78.0</v>
      </c>
      <c r="T10" s="38">
        <v>80.0</v>
      </c>
      <c r="U10" s="39"/>
      <c r="V10" s="32">
        <f t="shared" si="5"/>
        <v>63.2</v>
      </c>
      <c r="W10" s="39"/>
      <c r="X10" s="31">
        <v>80.0</v>
      </c>
      <c r="Y10" s="39"/>
      <c r="Z10" s="32">
        <f t="shared" si="6"/>
        <v>32</v>
      </c>
      <c r="AA10" s="39"/>
      <c r="AB10" s="38">
        <v>90.0</v>
      </c>
      <c r="AC10" s="39"/>
      <c r="AD10" s="32">
        <f t="shared" si="7"/>
        <v>36</v>
      </c>
      <c r="AE10" s="39"/>
      <c r="AF10" s="39"/>
      <c r="AG10" s="39"/>
      <c r="AH10" s="32" t="str">
        <f t="shared" si="8"/>
        <v/>
      </c>
      <c r="AI10" s="33">
        <f t="shared" si="9"/>
        <v>301.2</v>
      </c>
      <c r="AJ10" s="33">
        <f t="shared" si="10"/>
        <v>50.2</v>
      </c>
      <c r="AK10" s="34">
        <f t="shared" si="11"/>
        <v>5</v>
      </c>
      <c r="AL10" s="35" t="str">
        <f t="shared" si="12"/>
        <v>D (Kurang)</v>
      </c>
    </row>
    <row r="11" ht="25.5" customHeight="1">
      <c r="A11" s="28">
        <v>5.0</v>
      </c>
      <c r="B11" s="29" t="s">
        <v>133</v>
      </c>
      <c r="C11" s="30">
        <v>85.0</v>
      </c>
      <c r="D11" s="30">
        <v>95.0</v>
      </c>
      <c r="E11" s="31"/>
      <c r="F11" s="32">
        <f t="shared" si="1"/>
        <v>72</v>
      </c>
      <c r="G11" s="31"/>
      <c r="H11" s="31"/>
      <c r="I11" s="31"/>
      <c r="J11" s="32" t="str">
        <f t="shared" si="2"/>
        <v/>
      </c>
      <c r="K11" s="31"/>
      <c r="L11" s="30">
        <v>76.0</v>
      </c>
      <c r="M11" s="31"/>
      <c r="N11" s="32">
        <f t="shared" si="3"/>
        <v>30.4</v>
      </c>
      <c r="O11" s="30">
        <v>80.0</v>
      </c>
      <c r="P11" s="30">
        <v>70.0</v>
      </c>
      <c r="Q11" s="31"/>
      <c r="R11" s="32">
        <f t="shared" si="4"/>
        <v>60</v>
      </c>
      <c r="S11" s="30">
        <v>75.0</v>
      </c>
      <c r="T11" s="30">
        <v>75.0</v>
      </c>
      <c r="U11" s="31"/>
      <c r="V11" s="32">
        <f t="shared" si="5"/>
        <v>60</v>
      </c>
      <c r="W11" s="31"/>
      <c r="X11" s="31">
        <v>84.0</v>
      </c>
      <c r="Y11" s="31"/>
      <c r="Z11" s="32">
        <f t="shared" si="6"/>
        <v>33.6</v>
      </c>
      <c r="AA11" s="31"/>
      <c r="AB11" s="30">
        <v>98.0</v>
      </c>
      <c r="AC11" s="31"/>
      <c r="AD11" s="32">
        <f t="shared" si="7"/>
        <v>39.2</v>
      </c>
      <c r="AE11" s="31"/>
      <c r="AF11" s="31"/>
      <c r="AG11" s="31"/>
      <c r="AH11" s="32" t="str">
        <f t="shared" si="8"/>
        <v/>
      </c>
      <c r="AI11" s="33">
        <f t="shared" si="9"/>
        <v>295.2</v>
      </c>
      <c r="AJ11" s="33">
        <f t="shared" si="10"/>
        <v>49.2</v>
      </c>
      <c r="AK11" s="34">
        <f t="shared" si="11"/>
        <v>10</v>
      </c>
      <c r="AL11" s="35" t="str">
        <f t="shared" si="12"/>
        <v>D (Kurang)</v>
      </c>
    </row>
    <row r="12" ht="25.5" customHeight="1">
      <c r="A12" s="36">
        <v>6.0</v>
      </c>
      <c r="B12" s="37" t="s">
        <v>134</v>
      </c>
      <c r="C12" s="38">
        <v>85.0</v>
      </c>
      <c r="D12" s="38">
        <v>95.0</v>
      </c>
      <c r="E12" s="39"/>
      <c r="F12" s="32">
        <f t="shared" si="1"/>
        <v>72</v>
      </c>
      <c r="G12" s="39"/>
      <c r="H12" s="39"/>
      <c r="I12" s="39"/>
      <c r="J12" s="32" t="str">
        <f t="shared" si="2"/>
        <v/>
      </c>
      <c r="K12" s="39"/>
      <c r="L12" s="38">
        <v>70.0</v>
      </c>
      <c r="M12" s="39"/>
      <c r="N12" s="32">
        <f t="shared" si="3"/>
        <v>28</v>
      </c>
      <c r="O12" s="38">
        <v>80.0</v>
      </c>
      <c r="P12" s="38">
        <v>70.0</v>
      </c>
      <c r="Q12" s="39"/>
      <c r="R12" s="32">
        <f t="shared" si="4"/>
        <v>60</v>
      </c>
      <c r="S12" s="38">
        <v>78.0</v>
      </c>
      <c r="T12" s="38">
        <v>78.0</v>
      </c>
      <c r="U12" s="39"/>
      <c r="V12" s="32">
        <f t="shared" si="5"/>
        <v>62.4</v>
      </c>
      <c r="W12" s="39"/>
      <c r="X12" s="31">
        <v>81.0</v>
      </c>
      <c r="Y12" s="39"/>
      <c r="Z12" s="32">
        <f t="shared" si="6"/>
        <v>32.4</v>
      </c>
      <c r="AA12" s="39"/>
      <c r="AB12" s="38">
        <v>80.0</v>
      </c>
      <c r="AC12" s="39"/>
      <c r="AD12" s="32">
        <f t="shared" si="7"/>
        <v>32</v>
      </c>
      <c r="AE12" s="39"/>
      <c r="AF12" s="39"/>
      <c r="AG12" s="39"/>
      <c r="AH12" s="32" t="str">
        <f t="shared" si="8"/>
        <v/>
      </c>
      <c r="AI12" s="33">
        <f t="shared" si="9"/>
        <v>286.8</v>
      </c>
      <c r="AJ12" s="33">
        <f t="shared" si="10"/>
        <v>47.8</v>
      </c>
      <c r="AK12" s="34">
        <f t="shared" si="11"/>
        <v>16</v>
      </c>
      <c r="AL12" s="35" t="str">
        <f t="shared" si="12"/>
        <v>D (Kurang)</v>
      </c>
    </row>
    <row r="13" ht="25.5" customHeight="1">
      <c r="A13" s="28">
        <v>7.0</v>
      </c>
      <c r="B13" s="29" t="s">
        <v>135</v>
      </c>
      <c r="C13" s="30">
        <v>85.0</v>
      </c>
      <c r="D13" s="30">
        <v>95.0</v>
      </c>
      <c r="E13" s="31"/>
      <c r="F13" s="32">
        <f t="shared" si="1"/>
        <v>72</v>
      </c>
      <c r="G13" s="31"/>
      <c r="H13" s="31"/>
      <c r="I13" s="31"/>
      <c r="J13" s="32" t="str">
        <f t="shared" si="2"/>
        <v/>
      </c>
      <c r="K13" s="31"/>
      <c r="L13" s="30">
        <v>78.0</v>
      </c>
      <c r="M13" s="31"/>
      <c r="N13" s="32">
        <f t="shared" si="3"/>
        <v>31.2</v>
      </c>
      <c r="O13" s="30">
        <v>75.0</v>
      </c>
      <c r="P13" s="30">
        <v>70.0</v>
      </c>
      <c r="Q13" s="31"/>
      <c r="R13" s="32">
        <f t="shared" si="4"/>
        <v>58</v>
      </c>
      <c r="S13" s="30">
        <v>75.0</v>
      </c>
      <c r="T13" s="30">
        <v>78.0</v>
      </c>
      <c r="U13" s="31"/>
      <c r="V13" s="32">
        <f t="shared" si="5"/>
        <v>61.2</v>
      </c>
      <c r="W13" s="31"/>
      <c r="X13" s="31">
        <v>80.0</v>
      </c>
      <c r="Y13" s="31"/>
      <c r="Z13" s="32">
        <f t="shared" si="6"/>
        <v>32</v>
      </c>
      <c r="AA13" s="31"/>
      <c r="AB13" s="30">
        <v>90.0</v>
      </c>
      <c r="AC13" s="31"/>
      <c r="AD13" s="32">
        <f t="shared" si="7"/>
        <v>36</v>
      </c>
      <c r="AE13" s="31"/>
      <c r="AF13" s="31"/>
      <c r="AG13" s="31"/>
      <c r="AH13" s="32" t="str">
        <f t="shared" si="8"/>
        <v/>
      </c>
      <c r="AI13" s="33">
        <f t="shared" si="9"/>
        <v>290.4</v>
      </c>
      <c r="AJ13" s="33">
        <f t="shared" si="10"/>
        <v>48.4</v>
      </c>
      <c r="AK13" s="34">
        <f t="shared" si="11"/>
        <v>15</v>
      </c>
      <c r="AL13" s="35" t="str">
        <f t="shared" si="12"/>
        <v>D (Kurang)</v>
      </c>
    </row>
    <row r="14" ht="25.5" customHeight="1">
      <c r="A14" s="36">
        <v>8.0</v>
      </c>
      <c r="B14" s="37" t="s">
        <v>136</v>
      </c>
      <c r="C14" s="38">
        <v>85.0</v>
      </c>
      <c r="D14" s="38">
        <v>90.0</v>
      </c>
      <c r="E14" s="39"/>
      <c r="F14" s="32">
        <f t="shared" si="1"/>
        <v>70</v>
      </c>
      <c r="G14" s="39"/>
      <c r="H14" s="39"/>
      <c r="I14" s="39"/>
      <c r="J14" s="32" t="str">
        <f t="shared" si="2"/>
        <v/>
      </c>
      <c r="K14" s="39"/>
      <c r="L14" s="38">
        <v>76.0</v>
      </c>
      <c r="M14" s="39"/>
      <c r="N14" s="32">
        <f t="shared" si="3"/>
        <v>30.4</v>
      </c>
      <c r="O14" s="38">
        <v>70.0</v>
      </c>
      <c r="P14" s="38">
        <v>60.0</v>
      </c>
      <c r="Q14" s="39"/>
      <c r="R14" s="32">
        <f t="shared" si="4"/>
        <v>52</v>
      </c>
      <c r="S14" s="38">
        <v>79.0</v>
      </c>
      <c r="T14" s="38">
        <v>78.0</v>
      </c>
      <c r="U14" s="39"/>
      <c r="V14" s="32">
        <f t="shared" si="5"/>
        <v>62.8</v>
      </c>
      <c r="W14" s="39"/>
      <c r="X14" s="31">
        <v>83.0</v>
      </c>
      <c r="Y14" s="39"/>
      <c r="Z14" s="32">
        <f t="shared" si="6"/>
        <v>33.2</v>
      </c>
      <c r="AA14" s="39"/>
      <c r="AB14" s="38">
        <v>95.0</v>
      </c>
      <c r="AC14" s="39"/>
      <c r="AD14" s="32">
        <f t="shared" si="7"/>
        <v>38</v>
      </c>
      <c r="AE14" s="39"/>
      <c r="AF14" s="39"/>
      <c r="AG14" s="39"/>
      <c r="AH14" s="32" t="str">
        <f t="shared" si="8"/>
        <v/>
      </c>
      <c r="AI14" s="33">
        <f t="shared" si="9"/>
        <v>286.4</v>
      </c>
      <c r="AJ14" s="33">
        <f t="shared" si="10"/>
        <v>47.7</v>
      </c>
      <c r="AK14" s="34">
        <f t="shared" si="11"/>
        <v>17</v>
      </c>
      <c r="AL14" s="35" t="str">
        <f t="shared" si="12"/>
        <v>D (Kurang)</v>
      </c>
    </row>
    <row r="15" ht="25.5" customHeight="1">
      <c r="A15" s="28">
        <v>9.0</v>
      </c>
      <c r="B15" s="29" t="s">
        <v>137</v>
      </c>
      <c r="C15" s="30">
        <v>85.0</v>
      </c>
      <c r="D15" s="30">
        <v>90.0</v>
      </c>
      <c r="E15" s="31"/>
      <c r="F15" s="32">
        <f t="shared" si="1"/>
        <v>70</v>
      </c>
      <c r="G15" s="31"/>
      <c r="H15" s="31"/>
      <c r="I15" s="31"/>
      <c r="J15" s="32" t="str">
        <f t="shared" si="2"/>
        <v/>
      </c>
      <c r="K15" s="31"/>
      <c r="L15" s="30">
        <v>90.0</v>
      </c>
      <c r="M15" s="31"/>
      <c r="N15" s="32">
        <f t="shared" si="3"/>
        <v>36</v>
      </c>
      <c r="O15" s="30">
        <v>80.0</v>
      </c>
      <c r="P15" s="30">
        <v>90.0</v>
      </c>
      <c r="Q15" s="31"/>
      <c r="R15" s="32">
        <f t="shared" si="4"/>
        <v>68</v>
      </c>
      <c r="S15" s="30">
        <v>78.0</v>
      </c>
      <c r="T15" s="30">
        <v>78.0</v>
      </c>
      <c r="U15" s="31"/>
      <c r="V15" s="32">
        <f t="shared" si="5"/>
        <v>62.4</v>
      </c>
      <c r="W15" s="31"/>
      <c r="X15" s="31">
        <v>82.0</v>
      </c>
      <c r="Y15" s="31"/>
      <c r="Z15" s="32">
        <f t="shared" si="6"/>
        <v>32.8</v>
      </c>
      <c r="AA15" s="31"/>
      <c r="AB15" s="30">
        <v>90.0</v>
      </c>
      <c r="AC15" s="31"/>
      <c r="AD15" s="32">
        <f t="shared" si="7"/>
        <v>36</v>
      </c>
      <c r="AE15" s="31"/>
      <c r="AF15" s="31"/>
      <c r="AG15" s="31"/>
      <c r="AH15" s="32" t="str">
        <f t="shared" si="8"/>
        <v/>
      </c>
      <c r="AI15" s="33">
        <f t="shared" si="9"/>
        <v>305.2</v>
      </c>
      <c r="AJ15" s="33">
        <f t="shared" si="10"/>
        <v>50.9</v>
      </c>
      <c r="AK15" s="34">
        <f t="shared" si="11"/>
        <v>3</v>
      </c>
      <c r="AL15" s="35" t="str">
        <f t="shared" si="12"/>
        <v>D (Kurang)</v>
      </c>
    </row>
    <row r="16" ht="25.5" customHeight="1">
      <c r="A16" s="36">
        <v>10.0</v>
      </c>
      <c r="B16" s="37" t="s">
        <v>138</v>
      </c>
      <c r="C16" s="38">
        <v>85.0</v>
      </c>
      <c r="D16" s="38">
        <v>95.0</v>
      </c>
      <c r="E16" s="39"/>
      <c r="F16" s="32">
        <f t="shared" si="1"/>
        <v>72</v>
      </c>
      <c r="G16" s="39"/>
      <c r="H16" s="39"/>
      <c r="I16" s="39"/>
      <c r="J16" s="32" t="str">
        <f t="shared" si="2"/>
        <v/>
      </c>
      <c r="K16" s="39"/>
      <c r="L16" s="38">
        <v>74.0</v>
      </c>
      <c r="M16" s="39"/>
      <c r="N16" s="32">
        <f t="shared" si="3"/>
        <v>29.6</v>
      </c>
      <c r="O16" s="38">
        <v>75.0</v>
      </c>
      <c r="P16" s="38">
        <v>90.0</v>
      </c>
      <c r="Q16" s="39"/>
      <c r="R16" s="32">
        <f t="shared" si="4"/>
        <v>66</v>
      </c>
      <c r="S16" s="38">
        <v>75.0</v>
      </c>
      <c r="T16" s="38">
        <v>76.0</v>
      </c>
      <c r="U16" s="39"/>
      <c r="V16" s="32">
        <f t="shared" si="5"/>
        <v>60.4</v>
      </c>
      <c r="W16" s="39"/>
      <c r="X16" s="31">
        <v>85.0</v>
      </c>
      <c r="Y16" s="39"/>
      <c r="Z16" s="32">
        <f t="shared" si="6"/>
        <v>34</v>
      </c>
      <c r="AA16" s="39"/>
      <c r="AB16" s="38">
        <v>95.0</v>
      </c>
      <c r="AC16" s="39"/>
      <c r="AD16" s="32">
        <f t="shared" si="7"/>
        <v>38</v>
      </c>
      <c r="AE16" s="39"/>
      <c r="AF16" s="39"/>
      <c r="AG16" s="39"/>
      <c r="AH16" s="32" t="str">
        <f t="shared" si="8"/>
        <v/>
      </c>
      <c r="AI16" s="33">
        <f t="shared" si="9"/>
        <v>300</v>
      </c>
      <c r="AJ16" s="33">
        <f t="shared" si="10"/>
        <v>50</v>
      </c>
      <c r="AK16" s="34">
        <f t="shared" si="11"/>
        <v>6</v>
      </c>
      <c r="AL16" s="35" t="str">
        <f t="shared" si="12"/>
        <v>D (Kurang)</v>
      </c>
    </row>
    <row r="17" ht="25.5" customHeight="1">
      <c r="A17" s="28">
        <v>11.0</v>
      </c>
      <c r="B17" s="29" t="s">
        <v>139</v>
      </c>
      <c r="C17" s="30">
        <v>85.0</v>
      </c>
      <c r="D17" s="30">
        <v>95.0</v>
      </c>
      <c r="E17" s="31"/>
      <c r="F17" s="32">
        <f t="shared" si="1"/>
        <v>72</v>
      </c>
      <c r="G17" s="31"/>
      <c r="H17" s="31"/>
      <c r="I17" s="31"/>
      <c r="J17" s="32" t="str">
        <f t="shared" si="2"/>
        <v/>
      </c>
      <c r="K17" s="31"/>
      <c r="L17" s="30">
        <v>82.0</v>
      </c>
      <c r="M17" s="31"/>
      <c r="N17" s="32">
        <f t="shared" si="3"/>
        <v>32.8</v>
      </c>
      <c r="O17" s="30">
        <v>75.0</v>
      </c>
      <c r="P17" s="30">
        <v>90.0</v>
      </c>
      <c r="Q17" s="31"/>
      <c r="R17" s="32">
        <f t="shared" si="4"/>
        <v>66</v>
      </c>
      <c r="S17" s="30">
        <v>78.0</v>
      </c>
      <c r="T17" s="30">
        <v>79.5</v>
      </c>
      <c r="U17" s="31"/>
      <c r="V17" s="32">
        <f t="shared" si="5"/>
        <v>63</v>
      </c>
      <c r="W17" s="31"/>
      <c r="X17" s="31">
        <v>82.0</v>
      </c>
      <c r="Y17" s="31"/>
      <c r="Z17" s="32">
        <f t="shared" si="6"/>
        <v>32.8</v>
      </c>
      <c r="AA17" s="31"/>
      <c r="AB17" s="30">
        <v>80.0</v>
      </c>
      <c r="AC17" s="31"/>
      <c r="AD17" s="32">
        <f t="shared" si="7"/>
        <v>32</v>
      </c>
      <c r="AE17" s="31"/>
      <c r="AF17" s="31"/>
      <c r="AG17" s="31"/>
      <c r="AH17" s="32" t="str">
        <f t="shared" si="8"/>
        <v/>
      </c>
      <c r="AI17" s="33">
        <f t="shared" si="9"/>
        <v>298.6</v>
      </c>
      <c r="AJ17" s="33">
        <f t="shared" si="10"/>
        <v>49.8</v>
      </c>
      <c r="AK17" s="34">
        <f t="shared" si="11"/>
        <v>7</v>
      </c>
      <c r="AL17" s="35" t="str">
        <f t="shared" si="12"/>
        <v>D (Kurang)</v>
      </c>
    </row>
    <row r="18" ht="25.5" customHeight="1">
      <c r="A18" s="36">
        <v>12.0</v>
      </c>
      <c r="B18" s="37" t="s">
        <v>140</v>
      </c>
      <c r="C18" s="38">
        <v>85.0</v>
      </c>
      <c r="D18" s="38">
        <v>95.0</v>
      </c>
      <c r="E18" s="39"/>
      <c r="F18" s="32">
        <f t="shared" si="1"/>
        <v>72</v>
      </c>
      <c r="G18" s="39"/>
      <c r="H18" s="39"/>
      <c r="I18" s="39"/>
      <c r="J18" s="32" t="str">
        <f t="shared" si="2"/>
        <v/>
      </c>
      <c r="K18" s="39"/>
      <c r="L18" s="38">
        <v>79.0</v>
      </c>
      <c r="M18" s="39"/>
      <c r="N18" s="32">
        <f t="shared" si="3"/>
        <v>31.6</v>
      </c>
      <c r="O18" s="38">
        <v>80.0</v>
      </c>
      <c r="P18" s="38">
        <v>80.0</v>
      </c>
      <c r="Q18" s="39"/>
      <c r="R18" s="32">
        <f t="shared" si="4"/>
        <v>64</v>
      </c>
      <c r="S18" s="38">
        <v>78.0</v>
      </c>
      <c r="T18" s="38">
        <v>78.0</v>
      </c>
      <c r="U18" s="39"/>
      <c r="V18" s="32">
        <f t="shared" si="5"/>
        <v>62.4</v>
      </c>
      <c r="W18" s="39"/>
      <c r="X18" s="31">
        <v>85.0</v>
      </c>
      <c r="Y18" s="39"/>
      <c r="Z18" s="32">
        <f t="shared" si="6"/>
        <v>34</v>
      </c>
      <c r="AA18" s="39"/>
      <c r="AB18" s="38">
        <v>80.0</v>
      </c>
      <c r="AC18" s="39"/>
      <c r="AD18" s="32">
        <f t="shared" si="7"/>
        <v>32</v>
      </c>
      <c r="AE18" s="39"/>
      <c r="AF18" s="39"/>
      <c r="AG18" s="39"/>
      <c r="AH18" s="32" t="str">
        <f t="shared" si="8"/>
        <v/>
      </c>
      <c r="AI18" s="33">
        <f t="shared" si="9"/>
        <v>296</v>
      </c>
      <c r="AJ18" s="33">
        <f t="shared" si="10"/>
        <v>49.3</v>
      </c>
      <c r="AK18" s="34">
        <f t="shared" si="11"/>
        <v>8</v>
      </c>
      <c r="AL18" s="35" t="str">
        <f t="shared" si="12"/>
        <v>D (Kurang)</v>
      </c>
    </row>
    <row r="19" ht="25.5" customHeight="1">
      <c r="A19" s="28">
        <v>13.0</v>
      </c>
      <c r="B19" s="29" t="s">
        <v>141</v>
      </c>
      <c r="C19" s="30">
        <v>85.0</v>
      </c>
      <c r="D19" s="30">
        <v>95.0</v>
      </c>
      <c r="E19" s="31"/>
      <c r="F19" s="32">
        <f t="shared" si="1"/>
        <v>72</v>
      </c>
      <c r="G19" s="31"/>
      <c r="H19" s="31"/>
      <c r="I19" s="31"/>
      <c r="J19" s="32" t="str">
        <f t="shared" si="2"/>
        <v/>
      </c>
      <c r="K19" s="31"/>
      <c r="L19" s="30">
        <v>70.0</v>
      </c>
      <c r="M19" s="31"/>
      <c r="N19" s="32">
        <f t="shared" si="3"/>
        <v>28</v>
      </c>
      <c r="O19" s="30">
        <v>80.0</v>
      </c>
      <c r="P19" s="30">
        <v>70.0</v>
      </c>
      <c r="Q19" s="31"/>
      <c r="R19" s="32">
        <f t="shared" si="4"/>
        <v>60</v>
      </c>
      <c r="S19" s="30">
        <v>78.0</v>
      </c>
      <c r="T19" s="30">
        <v>78.0</v>
      </c>
      <c r="U19" s="31"/>
      <c r="V19" s="32">
        <f t="shared" si="5"/>
        <v>62.4</v>
      </c>
      <c r="W19" s="31"/>
      <c r="X19" s="31">
        <v>84.0</v>
      </c>
      <c r="Y19" s="31"/>
      <c r="Z19" s="32">
        <f t="shared" si="6"/>
        <v>33.6</v>
      </c>
      <c r="AA19" s="31"/>
      <c r="AB19" s="30">
        <v>98.0</v>
      </c>
      <c r="AC19" s="31"/>
      <c r="AD19" s="32">
        <f t="shared" si="7"/>
        <v>39.2</v>
      </c>
      <c r="AE19" s="31"/>
      <c r="AF19" s="31"/>
      <c r="AG19" s="31"/>
      <c r="AH19" s="32" t="str">
        <f t="shared" si="8"/>
        <v/>
      </c>
      <c r="AI19" s="33">
        <f t="shared" si="9"/>
        <v>295.2</v>
      </c>
      <c r="AJ19" s="33">
        <f t="shared" si="10"/>
        <v>49.2</v>
      </c>
      <c r="AK19" s="34">
        <f t="shared" si="11"/>
        <v>10</v>
      </c>
      <c r="AL19" s="35" t="str">
        <f t="shared" si="12"/>
        <v>D (Kurang)</v>
      </c>
    </row>
    <row r="20" ht="25.5" customHeight="1">
      <c r="A20" s="36">
        <v>14.0</v>
      </c>
      <c r="B20" s="37" t="s">
        <v>142</v>
      </c>
      <c r="C20" s="38">
        <v>85.0</v>
      </c>
      <c r="D20" s="38">
        <v>95.0</v>
      </c>
      <c r="E20" s="39"/>
      <c r="F20" s="32">
        <f t="shared" si="1"/>
        <v>72</v>
      </c>
      <c r="G20" s="39"/>
      <c r="H20" s="39"/>
      <c r="I20" s="39"/>
      <c r="J20" s="32" t="str">
        <f t="shared" si="2"/>
        <v/>
      </c>
      <c r="K20" s="39"/>
      <c r="L20" s="38">
        <v>78.0</v>
      </c>
      <c r="M20" s="39"/>
      <c r="N20" s="32">
        <f t="shared" si="3"/>
        <v>31.2</v>
      </c>
      <c r="O20" s="38">
        <v>80.0</v>
      </c>
      <c r="P20" s="38">
        <v>70.0</v>
      </c>
      <c r="Q20" s="39"/>
      <c r="R20" s="32">
        <f t="shared" si="4"/>
        <v>60</v>
      </c>
      <c r="S20" s="38">
        <v>75.0</v>
      </c>
      <c r="T20" s="38">
        <v>76.0</v>
      </c>
      <c r="U20" s="39"/>
      <c r="V20" s="32">
        <f t="shared" si="5"/>
        <v>60.4</v>
      </c>
      <c r="W20" s="39"/>
      <c r="X20" s="31">
        <v>82.0</v>
      </c>
      <c r="Y20" s="39"/>
      <c r="Z20" s="32">
        <f t="shared" si="6"/>
        <v>32.8</v>
      </c>
      <c r="AA20" s="39"/>
      <c r="AB20" s="38">
        <v>90.0</v>
      </c>
      <c r="AC20" s="39"/>
      <c r="AD20" s="32">
        <f t="shared" si="7"/>
        <v>36</v>
      </c>
      <c r="AE20" s="39"/>
      <c r="AF20" s="39"/>
      <c r="AG20" s="39"/>
      <c r="AH20" s="32" t="str">
        <f t="shared" si="8"/>
        <v/>
      </c>
      <c r="AI20" s="33">
        <f t="shared" si="9"/>
        <v>292.4</v>
      </c>
      <c r="AJ20" s="33">
        <f t="shared" si="10"/>
        <v>48.7</v>
      </c>
      <c r="AK20" s="34">
        <f t="shared" si="11"/>
        <v>12</v>
      </c>
      <c r="AL20" s="35" t="str">
        <f t="shared" si="12"/>
        <v>D (Kurang)</v>
      </c>
    </row>
    <row r="21" ht="25.5" customHeight="1">
      <c r="A21" s="28">
        <v>15.0</v>
      </c>
      <c r="B21" s="29" t="s">
        <v>143</v>
      </c>
      <c r="C21" s="30">
        <v>85.0</v>
      </c>
      <c r="D21" s="30">
        <v>95.0</v>
      </c>
      <c r="E21" s="31"/>
      <c r="F21" s="32">
        <f t="shared" si="1"/>
        <v>72</v>
      </c>
      <c r="G21" s="31"/>
      <c r="H21" s="31"/>
      <c r="I21" s="31"/>
      <c r="J21" s="32" t="str">
        <f t="shared" si="2"/>
        <v/>
      </c>
      <c r="K21" s="31"/>
      <c r="L21" s="30">
        <v>75.0</v>
      </c>
      <c r="M21" s="31"/>
      <c r="N21" s="32">
        <f t="shared" si="3"/>
        <v>30</v>
      </c>
      <c r="O21" s="30">
        <v>80.0</v>
      </c>
      <c r="P21" s="30">
        <v>80.0</v>
      </c>
      <c r="Q21" s="31"/>
      <c r="R21" s="32">
        <f t="shared" si="4"/>
        <v>64</v>
      </c>
      <c r="S21" s="30">
        <v>75.0</v>
      </c>
      <c r="T21" s="30">
        <v>75.0</v>
      </c>
      <c r="U21" s="31"/>
      <c r="V21" s="32">
        <f t="shared" si="5"/>
        <v>60</v>
      </c>
      <c r="W21" s="31"/>
      <c r="X21" s="31">
        <v>84.0</v>
      </c>
      <c r="Y21" s="31"/>
      <c r="Z21" s="32">
        <f t="shared" si="6"/>
        <v>33.6</v>
      </c>
      <c r="AA21" s="31"/>
      <c r="AB21" s="30">
        <v>80.0</v>
      </c>
      <c r="AC21" s="31"/>
      <c r="AD21" s="32">
        <f t="shared" si="7"/>
        <v>32</v>
      </c>
      <c r="AE21" s="31"/>
      <c r="AF21" s="31"/>
      <c r="AG21" s="31"/>
      <c r="AH21" s="32" t="str">
        <f t="shared" si="8"/>
        <v/>
      </c>
      <c r="AI21" s="33">
        <f t="shared" si="9"/>
        <v>291.6</v>
      </c>
      <c r="AJ21" s="33">
        <f t="shared" si="10"/>
        <v>48.6</v>
      </c>
      <c r="AK21" s="34">
        <f t="shared" si="11"/>
        <v>14</v>
      </c>
      <c r="AL21" s="35" t="str">
        <f t="shared" si="12"/>
        <v>D (Kurang)</v>
      </c>
    </row>
    <row r="22" ht="25.5" customHeight="1">
      <c r="A22" s="36">
        <v>16.0</v>
      </c>
      <c r="B22" s="37" t="s">
        <v>144</v>
      </c>
      <c r="C22" s="38">
        <v>85.0</v>
      </c>
      <c r="D22" s="38">
        <v>95.0</v>
      </c>
      <c r="E22" s="39"/>
      <c r="F22" s="32">
        <f t="shared" si="1"/>
        <v>72</v>
      </c>
      <c r="G22" s="39"/>
      <c r="H22" s="39"/>
      <c r="I22" s="39"/>
      <c r="J22" s="32" t="str">
        <f t="shared" si="2"/>
        <v/>
      </c>
      <c r="K22" s="39"/>
      <c r="L22" s="38">
        <v>75.0</v>
      </c>
      <c r="M22" s="39"/>
      <c r="N22" s="32">
        <f t="shared" si="3"/>
        <v>30</v>
      </c>
      <c r="O22" s="38">
        <v>75.0</v>
      </c>
      <c r="P22" s="38">
        <v>90.0</v>
      </c>
      <c r="Q22" s="39"/>
      <c r="R22" s="32">
        <f t="shared" si="4"/>
        <v>66</v>
      </c>
      <c r="S22" s="38">
        <v>78.0</v>
      </c>
      <c r="T22" s="38">
        <v>80.0</v>
      </c>
      <c r="U22" s="39"/>
      <c r="V22" s="32">
        <f t="shared" si="5"/>
        <v>63.2</v>
      </c>
      <c r="W22" s="39"/>
      <c r="X22" s="31">
        <v>84.0</v>
      </c>
      <c r="Y22" s="39"/>
      <c r="Z22" s="32">
        <f t="shared" si="6"/>
        <v>33.6</v>
      </c>
      <c r="AA22" s="39"/>
      <c r="AB22" s="38">
        <v>98.0</v>
      </c>
      <c r="AC22" s="39"/>
      <c r="AD22" s="32">
        <f t="shared" si="7"/>
        <v>39.2</v>
      </c>
      <c r="AE22" s="39"/>
      <c r="AF22" s="39"/>
      <c r="AG22" s="39"/>
      <c r="AH22" s="32" t="str">
        <f t="shared" si="8"/>
        <v/>
      </c>
      <c r="AI22" s="33">
        <f t="shared" si="9"/>
        <v>304</v>
      </c>
      <c r="AJ22" s="33">
        <f t="shared" si="10"/>
        <v>50.7</v>
      </c>
      <c r="AK22" s="34">
        <f t="shared" si="11"/>
        <v>4</v>
      </c>
      <c r="AL22" s="35" t="str">
        <f t="shared" si="12"/>
        <v>D (Kurang)</v>
      </c>
    </row>
    <row r="23" ht="25.5" customHeight="1">
      <c r="A23" s="28">
        <v>17.0</v>
      </c>
      <c r="B23" s="29" t="s">
        <v>145</v>
      </c>
      <c r="C23" s="30">
        <v>85.0</v>
      </c>
      <c r="D23" s="30">
        <v>95.0</v>
      </c>
      <c r="E23" s="31"/>
      <c r="F23" s="32">
        <f t="shared" si="1"/>
        <v>72</v>
      </c>
      <c r="G23" s="31"/>
      <c r="H23" s="31"/>
      <c r="I23" s="31"/>
      <c r="J23" s="32" t="str">
        <f t="shared" si="2"/>
        <v/>
      </c>
      <c r="K23" s="31"/>
      <c r="L23" s="30">
        <v>70.0</v>
      </c>
      <c r="M23" s="31"/>
      <c r="N23" s="32">
        <f t="shared" si="3"/>
        <v>28</v>
      </c>
      <c r="O23" s="30">
        <v>75.0</v>
      </c>
      <c r="P23" s="30">
        <v>60.0</v>
      </c>
      <c r="Q23" s="31"/>
      <c r="R23" s="32">
        <f t="shared" si="4"/>
        <v>54</v>
      </c>
      <c r="S23" s="30">
        <v>75.0</v>
      </c>
      <c r="T23" s="30">
        <v>75.0</v>
      </c>
      <c r="U23" s="31"/>
      <c r="V23" s="32">
        <f t="shared" si="5"/>
        <v>60</v>
      </c>
      <c r="W23" s="31"/>
      <c r="X23" s="31">
        <v>81.0</v>
      </c>
      <c r="Y23" s="31"/>
      <c r="Z23" s="32">
        <f t="shared" si="6"/>
        <v>32.4</v>
      </c>
      <c r="AA23" s="31"/>
      <c r="AB23" s="30">
        <v>90.0</v>
      </c>
      <c r="AC23" s="31"/>
      <c r="AD23" s="32">
        <f t="shared" si="7"/>
        <v>36</v>
      </c>
      <c r="AE23" s="31"/>
      <c r="AF23" s="31"/>
      <c r="AG23" s="31"/>
      <c r="AH23" s="32" t="str">
        <f t="shared" si="8"/>
        <v/>
      </c>
      <c r="AI23" s="33">
        <f t="shared" si="9"/>
        <v>282.4</v>
      </c>
      <c r="AJ23" s="33">
        <f t="shared" si="10"/>
        <v>47.1</v>
      </c>
      <c r="AK23" s="34">
        <f t="shared" si="11"/>
        <v>18</v>
      </c>
      <c r="AL23" s="35" t="str">
        <f t="shared" si="12"/>
        <v>D (Kurang)</v>
      </c>
    </row>
    <row r="24" ht="25.5" customHeight="1">
      <c r="A24" s="36">
        <v>18.0</v>
      </c>
      <c r="B24" s="37" t="s">
        <v>146</v>
      </c>
      <c r="C24" s="38">
        <v>85.0</v>
      </c>
      <c r="D24" s="38">
        <v>95.0</v>
      </c>
      <c r="E24" s="39"/>
      <c r="F24" s="32">
        <f t="shared" si="1"/>
        <v>72</v>
      </c>
      <c r="G24" s="39"/>
      <c r="H24" s="39"/>
      <c r="I24" s="39"/>
      <c r="J24" s="32" t="str">
        <f t="shared" si="2"/>
        <v/>
      </c>
      <c r="K24" s="39"/>
      <c r="L24" s="38">
        <v>85.0</v>
      </c>
      <c r="M24" s="39"/>
      <c r="N24" s="32">
        <f t="shared" si="3"/>
        <v>34</v>
      </c>
      <c r="O24" s="38">
        <v>80.0</v>
      </c>
      <c r="P24" s="38">
        <v>90.0</v>
      </c>
      <c r="Q24" s="39"/>
      <c r="R24" s="32">
        <f t="shared" si="4"/>
        <v>68</v>
      </c>
      <c r="S24" s="38">
        <v>78.0</v>
      </c>
      <c r="T24" s="38">
        <v>79.0</v>
      </c>
      <c r="U24" s="39"/>
      <c r="V24" s="32">
        <f t="shared" si="5"/>
        <v>62.8</v>
      </c>
      <c r="W24" s="39"/>
      <c r="X24" s="31">
        <v>85.0</v>
      </c>
      <c r="Y24" s="39"/>
      <c r="Z24" s="32">
        <f t="shared" si="6"/>
        <v>34</v>
      </c>
      <c r="AA24" s="39"/>
      <c r="AB24" s="38">
        <v>90.0</v>
      </c>
      <c r="AC24" s="39"/>
      <c r="AD24" s="32">
        <f t="shared" si="7"/>
        <v>36</v>
      </c>
      <c r="AE24" s="39"/>
      <c r="AF24" s="39"/>
      <c r="AG24" s="39"/>
      <c r="AH24" s="32" t="str">
        <f t="shared" si="8"/>
        <v/>
      </c>
      <c r="AI24" s="33">
        <f t="shared" si="9"/>
        <v>306.8</v>
      </c>
      <c r="AJ24" s="33">
        <f t="shared" si="10"/>
        <v>51.1</v>
      </c>
      <c r="AK24" s="34">
        <f t="shared" si="11"/>
        <v>2</v>
      </c>
      <c r="AL24" s="35" t="str">
        <f t="shared" si="12"/>
        <v>D (Kurang)</v>
      </c>
    </row>
    <row r="25" ht="25.5" customHeight="1">
      <c r="A25" s="28">
        <v>19.0</v>
      </c>
      <c r="B25" s="29" t="s">
        <v>147</v>
      </c>
      <c r="C25" s="30">
        <v>85.0</v>
      </c>
      <c r="D25" s="30">
        <v>95.0</v>
      </c>
      <c r="E25" s="31"/>
      <c r="F25" s="32">
        <f t="shared" si="1"/>
        <v>72</v>
      </c>
      <c r="G25" s="31"/>
      <c r="H25" s="31"/>
      <c r="I25" s="31"/>
      <c r="J25" s="32" t="str">
        <f t="shared" si="2"/>
        <v/>
      </c>
      <c r="K25" s="31"/>
      <c r="L25" s="30">
        <v>90.0</v>
      </c>
      <c r="M25" s="31"/>
      <c r="N25" s="32">
        <f t="shared" si="3"/>
        <v>36</v>
      </c>
      <c r="O25" s="30">
        <v>80.0</v>
      </c>
      <c r="P25" s="30">
        <v>90.0</v>
      </c>
      <c r="Q25" s="31"/>
      <c r="R25" s="32">
        <f t="shared" si="4"/>
        <v>68</v>
      </c>
      <c r="S25" s="30">
        <v>75.0</v>
      </c>
      <c r="T25" s="30">
        <v>77.0</v>
      </c>
      <c r="U25" s="31"/>
      <c r="V25" s="32">
        <f t="shared" si="5"/>
        <v>60.8</v>
      </c>
      <c r="W25" s="31"/>
      <c r="X25" s="31">
        <v>81.0</v>
      </c>
      <c r="Y25" s="31"/>
      <c r="Z25" s="32">
        <f t="shared" si="6"/>
        <v>32.4</v>
      </c>
      <c r="AA25" s="31"/>
      <c r="AB25" s="30">
        <v>98.0</v>
      </c>
      <c r="AC25" s="31"/>
      <c r="AD25" s="32">
        <f t="shared" si="7"/>
        <v>39.2</v>
      </c>
      <c r="AE25" s="31"/>
      <c r="AF25" s="31"/>
      <c r="AG25" s="31"/>
      <c r="AH25" s="32" t="str">
        <f t="shared" si="8"/>
        <v/>
      </c>
      <c r="AI25" s="33">
        <f t="shared" si="9"/>
        <v>308.4</v>
      </c>
      <c r="AJ25" s="33">
        <f t="shared" si="10"/>
        <v>51.4</v>
      </c>
      <c r="AK25" s="34">
        <f t="shared" si="11"/>
        <v>1</v>
      </c>
      <c r="AL25" s="35" t="str">
        <f t="shared" si="12"/>
        <v>D (Kurang)</v>
      </c>
    </row>
    <row r="26" ht="21.75" customHeight="1">
      <c r="A26" s="40" t="s">
        <v>44</v>
      </c>
      <c r="B26" s="41"/>
      <c r="C26" s="42">
        <f t="shared" ref="C26:AJ26" si="13">IFERROR(ROUND(AVERAGE(C7:C25), 1), "")</f>
        <v>85</v>
      </c>
      <c r="D26" s="42">
        <f t="shared" si="13"/>
        <v>94.2</v>
      </c>
      <c r="E26" s="42" t="str">
        <f t="shared" si="13"/>
        <v/>
      </c>
      <c r="F26" s="43">
        <f t="shared" si="13"/>
        <v>69.7</v>
      </c>
      <c r="G26" s="42" t="str">
        <f t="shared" si="13"/>
        <v/>
      </c>
      <c r="H26" s="42" t="str">
        <f t="shared" si="13"/>
        <v/>
      </c>
      <c r="I26" s="42" t="str">
        <f t="shared" si="13"/>
        <v/>
      </c>
      <c r="J26" s="43" t="str">
        <f t="shared" si="13"/>
        <v/>
      </c>
      <c r="K26" s="42" t="str">
        <f t="shared" si="13"/>
        <v/>
      </c>
      <c r="L26" s="42">
        <f t="shared" si="13"/>
        <v>78.7</v>
      </c>
      <c r="M26" s="42" t="str">
        <f t="shared" si="13"/>
        <v/>
      </c>
      <c r="N26" s="43">
        <f t="shared" si="13"/>
        <v>31.5</v>
      </c>
      <c r="O26" s="42">
        <f t="shared" si="13"/>
        <v>76.8</v>
      </c>
      <c r="P26" s="42">
        <f t="shared" si="13"/>
        <v>78.3</v>
      </c>
      <c r="Q26" s="42" t="str">
        <f t="shared" si="13"/>
        <v/>
      </c>
      <c r="R26" s="43">
        <f t="shared" si="13"/>
        <v>60.4</v>
      </c>
      <c r="S26" s="42">
        <f t="shared" si="13"/>
        <v>76.6</v>
      </c>
      <c r="T26" s="42">
        <f t="shared" si="13"/>
        <v>77.4</v>
      </c>
      <c r="U26" s="42" t="str">
        <f t="shared" si="13"/>
        <v/>
      </c>
      <c r="V26" s="43">
        <f t="shared" si="13"/>
        <v>61.6</v>
      </c>
      <c r="W26" s="42" t="str">
        <f t="shared" si="13"/>
        <v/>
      </c>
      <c r="X26" s="42">
        <f t="shared" si="13"/>
        <v>82.7</v>
      </c>
      <c r="Y26" s="42" t="str">
        <f t="shared" si="13"/>
        <v/>
      </c>
      <c r="Z26" s="43">
        <f t="shared" si="13"/>
        <v>33.1</v>
      </c>
      <c r="AA26" s="42" t="str">
        <f t="shared" si="13"/>
        <v/>
      </c>
      <c r="AB26" s="42">
        <f t="shared" si="13"/>
        <v>89.3</v>
      </c>
      <c r="AC26" s="42" t="str">
        <f t="shared" si="13"/>
        <v/>
      </c>
      <c r="AD26" s="43">
        <f t="shared" si="13"/>
        <v>35.7</v>
      </c>
      <c r="AE26" s="42" t="str">
        <f t="shared" si="13"/>
        <v/>
      </c>
      <c r="AF26" s="42" t="str">
        <f t="shared" si="13"/>
        <v/>
      </c>
      <c r="AG26" s="42" t="str">
        <f t="shared" si="13"/>
        <v/>
      </c>
      <c r="AH26" s="43" t="str">
        <f t="shared" si="13"/>
        <v/>
      </c>
      <c r="AI26" s="42">
        <f t="shared" si="13"/>
        <v>290.4</v>
      </c>
      <c r="AJ26" s="42">
        <f t="shared" si="13"/>
        <v>48.7</v>
      </c>
      <c r="AK26" s="42" t="s">
        <v>45</v>
      </c>
      <c r="AL26" s="43" t="s">
        <v>45</v>
      </c>
    </row>
    <row r="27" ht="21.75" customHeight="1">
      <c r="A27" s="44" t="s">
        <v>46</v>
      </c>
      <c r="B27" s="45"/>
      <c r="C27" s="46">
        <f t="shared" ref="C27:AJ27" si="14">IFERROR(MAX(C7:C25), "")</f>
        <v>85</v>
      </c>
      <c r="D27" s="46">
        <f t="shared" si="14"/>
        <v>95</v>
      </c>
      <c r="E27" s="46">
        <f t="shared" si="14"/>
        <v>0</v>
      </c>
      <c r="F27" s="47">
        <f t="shared" si="14"/>
        <v>72</v>
      </c>
      <c r="G27" s="46">
        <f t="shared" si="14"/>
        <v>0</v>
      </c>
      <c r="H27" s="46">
        <f t="shared" si="14"/>
        <v>0</v>
      </c>
      <c r="I27" s="46">
        <f t="shared" si="14"/>
        <v>0</v>
      </c>
      <c r="J27" s="47">
        <f t="shared" si="14"/>
        <v>0</v>
      </c>
      <c r="K27" s="46">
        <f t="shared" si="14"/>
        <v>0</v>
      </c>
      <c r="L27" s="46">
        <f t="shared" si="14"/>
        <v>90</v>
      </c>
      <c r="M27" s="46">
        <f t="shared" si="14"/>
        <v>0</v>
      </c>
      <c r="N27" s="47">
        <f t="shared" si="14"/>
        <v>36</v>
      </c>
      <c r="O27" s="46">
        <f t="shared" si="14"/>
        <v>80</v>
      </c>
      <c r="P27" s="46">
        <f t="shared" si="14"/>
        <v>90</v>
      </c>
      <c r="Q27" s="46">
        <f t="shared" si="14"/>
        <v>0</v>
      </c>
      <c r="R27" s="47">
        <f t="shared" si="14"/>
        <v>68</v>
      </c>
      <c r="S27" s="46">
        <f t="shared" si="14"/>
        <v>79</v>
      </c>
      <c r="T27" s="46">
        <f t="shared" si="14"/>
        <v>80</v>
      </c>
      <c r="U27" s="46">
        <f t="shared" si="14"/>
        <v>0</v>
      </c>
      <c r="V27" s="47">
        <f t="shared" si="14"/>
        <v>63.2</v>
      </c>
      <c r="W27" s="46">
        <f t="shared" si="14"/>
        <v>0</v>
      </c>
      <c r="X27" s="46">
        <f t="shared" si="14"/>
        <v>85</v>
      </c>
      <c r="Y27" s="46">
        <f t="shared" si="14"/>
        <v>0</v>
      </c>
      <c r="Z27" s="47">
        <f t="shared" si="14"/>
        <v>34</v>
      </c>
      <c r="AA27" s="46">
        <f t="shared" si="14"/>
        <v>0</v>
      </c>
      <c r="AB27" s="46">
        <f t="shared" si="14"/>
        <v>98</v>
      </c>
      <c r="AC27" s="46">
        <f t="shared" si="14"/>
        <v>0</v>
      </c>
      <c r="AD27" s="47">
        <f t="shared" si="14"/>
        <v>39.2</v>
      </c>
      <c r="AE27" s="46">
        <f t="shared" si="14"/>
        <v>0</v>
      </c>
      <c r="AF27" s="46">
        <f t="shared" si="14"/>
        <v>0</v>
      </c>
      <c r="AG27" s="46">
        <f t="shared" si="14"/>
        <v>0</v>
      </c>
      <c r="AH27" s="47">
        <f t="shared" si="14"/>
        <v>0</v>
      </c>
      <c r="AI27" s="46">
        <f t="shared" si="14"/>
        <v>308.4</v>
      </c>
      <c r="AJ27" s="46">
        <f t="shared" si="14"/>
        <v>51.4</v>
      </c>
      <c r="AK27" s="46" t="s">
        <v>45</v>
      </c>
      <c r="AL27" s="47" t="s">
        <v>45</v>
      </c>
    </row>
    <row r="28" ht="21.75" customHeight="1">
      <c r="A28" s="48" t="s">
        <v>47</v>
      </c>
      <c r="B28" s="49"/>
      <c r="C28" s="50">
        <f t="shared" ref="C28:AJ28" si="15">IFERROR(MIN(C7:C25), "")</f>
        <v>85</v>
      </c>
      <c r="D28" s="50">
        <f t="shared" si="15"/>
        <v>90</v>
      </c>
      <c r="E28" s="50">
        <f t="shared" si="15"/>
        <v>0</v>
      </c>
      <c r="F28" s="51">
        <f t="shared" si="15"/>
        <v>34</v>
      </c>
      <c r="G28" s="50">
        <f t="shared" si="15"/>
        <v>0</v>
      </c>
      <c r="H28" s="50">
        <f t="shared" si="15"/>
        <v>0</v>
      </c>
      <c r="I28" s="50">
        <f t="shared" si="15"/>
        <v>0</v>
      </c>
      <c r="J28" s="51">
        <f t="shared" si="15"/>
        <v>0</v>
      </c>
      <c r="K28" s="50">
        <f t="shared" si="15"/>
        <v>0</v>
      </c>
      <c r="L28" s="50">
        <f t="shared" si="15"/>
        <v>70</v>
      </c>
      <c r="M28" s="50">
        <f t="shared" si="15"/>
        <v>0</v>
      </c>
      <c r="N28" s="51">
        <f t="shared" si="15"/>
        <v>28</v>
      </c>
      <c r="O28" s="50">
        <f t="shared" si="15"/>
        <v>65</v>
      </c>
      <c r="P28" s="50">
        <f t="shared" si="15"/>
        <v>60</v>
      </c>
      <c r="Q28" s="50">
        <f t="shared" si="15"/>
        <v>0</v>
      </c>
      <c r="R28" s="51">
        <f t="shared" si="15"/>
        <v>30</v>
      </c>
      <c r="S28" s="50">
        <f t="shared" si="15"/>
        <v>75</v>
      </c>
      <c r="T28" s="50">
        <f t="shared" si="15"/>
        <v>75</v>
      </c>
      <c r="U28" s="50">
        <f t="shared" si="15"/>
        <v>0</v>
      </c>
      <c r="V28" s="51">
        <f t="shared" si="15"/>
        <v>60</v>
      </c>
      <c r="W28" s="50">
        <f t="shared" si="15"/>
        <v>0</v>
      </c>
      <c r="X28" s="50">
        <f t="shared" si="15"/>
        <v>80</v>
      </c>
      <c r="Y28" s="50">
        <f t="shared" si="15"/>
        <v>0</v>
      </c>
      <c r="Z28" s="51">
        <f t="shared" si="15"/>
        <v>32</v>
      </c>
      <c r="AA28" s="50">
        <f t="shared" si="15"/>
        <v>0</v>
      </c>
      <c r="AB28" s="50">
        <f t="shared" si="15"/>
        <v>80</v>
      </c>
      <c r="AC28" s="50">
        <f t="shared" si="15"/>
        <v>0</v>
      </c>
      <c r="AD28" s="51">
        <f t="shared" si="15"/>
        <v>32</v>
      </c>
      <c r="AE28" s="50">
        <f t="shared" si="15"/>
        <v>0</v>
      </c>
      <c r="AF28" s="50">
        <f t="shared" si="15"/>
        <v>0</v>
      </c>
      <c r="AG28" s="50">
        <f t="shared" si="15"/>
        <v>0</v>
      </c>
      <c r="AH28" s="51">
        <f t="shared" si="15"/>
        <v>0</v>
      </c>
      <c r="AI28" s="50">
        <f t="shared" si="15"/>
        <v>188.4</v>
      </c>
      <c r="AJ28" s="50">
        <f t="shared" si="15"/>
        <v>37.7</v>
      </c>
      <c r="AK28" s="50" t="s">
        <v>45</v>
      </c>
      <c r="AL28" s="51" t="s">
        <v>45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5:J5"/>
    <mergeCell ref="K5:N5"/>
    <mergeCell ref="A26:B26"/>
    <mergeCell ref="A27:B27"/>
    <mergeCell ref="A28:B28"/>
    <mergeCell ref="O5:R5"/>
    <mergeCell ref="S5:V5"/>
    <mergeCell ref="W5:Z5"/>
    <mergeCell ref="AA5:AD5"/>
    <mergeCell ref="AE5:AH5"/>
    <mergeCell ref="AI5:AL5"/>
    <mergeCell ref="A1:AL1"/>
    <mergeCell ref="A2:AL2"/>
    <mergeCell ref="A3:B3"/>
    <mergeCell ref="C3:AH3"/>
    <mergeCell ref="AI3:AL3"/>
    <mergeCell ref="A5:B5"/>
    <mergeCell ref="C5:F5"/>
  </mergeCells>
  <printOptions/>
  <pageMargins bottom="1.0" footer="0.0" header="0.0" left="0.75" right="0.75" top="1.0"/>
  <pageSetup orientation="landscape"/>
  <drawing r:id="rId1"/>
</worksheet>
</file>